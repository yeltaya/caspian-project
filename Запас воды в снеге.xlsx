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5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6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7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5830" windowHeight="11745" activeTab="8"/>
  </bookViews>
  <sheets>
    <sheet name="Абайская " sheetId="1" r:id="rId1"/>
    <sheet name="Акмолинская" sheetId="2" r:id="rId2"/>
    <sheet name="Актюбинская " sheetId="3" r:id="rId3"/>
    <sheet name="Алматинская" sheetId="4" r:id="rId4"/>
    <sheet name="Атырауская" sheetId="5" r:id="rId5"/>
    <sheet name="ВКО" sheetId="6" r:id="rId6"/>
    <sheet name="Жамбылская" sheetId="7" r:id="rId7"/>
    <sheet name="Жетису" sheetId="8" r:id="rId8"/>
    <sheet name="ЗКО" sheetId="9" r:id="rId9"/>
    <sheet name="Карагандинская" sheetId="10" r:id="rId10"/>
    <sheet name="Костанайская " sheetId="11" r:id="rId11"/>
    <sheet name="Кызылорда" sheetId="12" r:id="rId12"/>
    <sheet name="Мангистау" sheetId="13" r:id="rId13"/>
    <sheet name="Павлодар" sheetId="14" r:id="rId14"/>
    <sheet name="СКО" sheetId="15" r:id="rId15"/>
    <sheet name="Туркестанская" sheetId="16" r:id="rId16"/>
    <sheet name="Улытау" sheetId="17" r:id="rId17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1" l="1"/>
  <c r="K3" i="12" l="1"/>
  <c r="K4" i="12"/>
  <c r="K5" i="12"/>
  <c r="K6" i="12"/>
  <c r="K7" i="12"/>
  <c r="K8" i="12"/>
  <c r="K9" i="12"/>
  <c r="K10" i="12"/>
  <c r="K11" i="12"/>
  <c r="K12" i="12"/>
  <c r="K13" i="12"/>
  <c r="K14" i="12"/>
  <c r="K15" i="12"/>
  <c r="K16" i="12"/>
  <c r="K17" i="12"/>
  <c r="K18" i="12"/>
  <c r="K19" i="12"/>
  <c r="K20" i="12"/>
  <c r="K21" i="12"/>
  <c r="K22" i="12"/>
  <c r="K23" i="12"/>
  <c r="K24" i="12"/>
  <c r="K25" i="12"/>
  <c r="K26" i="12"/>
  <c r="K27" i="12"/>
  <c r="K28" i="12"/>
  <c r="K29" i="12"/>
  <c r="K30" i="12"/>
  <c r="K31" i="12"/>
  <c r="K32" i="12"/>
  <c r="K33" i="12"/>
  <c r="K34" i="12"/>
  <c r="K35" i="12"/>
  <c r="K36" i="12"/>
  <c r="K37" i="12"/>
  <c r="K38" i="12"/>
  <c r="K39" i="12"/>
  <c r="K40" i="12"/>
  <c r="K41" i="12"/>
  <c r="K42" i="12"/>
  <c r="K43" i="12"/>
  <c r="K44" i="12"/>
  <c r="K45" i="12"/>
  <c r="K46" i="12"/>
  <c r="K47" i="12"/>
  <c r="K48" i="12"/>
  <c r="K49" i="12"/>
  <c r="K50" i="12"/>
  <c r="K51" i="12"/>
  <c r="K52" i="12"/>
  <c r="K53" i="12"/>
  <c r="K54" i="12"/>
  <c r="K55" i="12"/>
  <c r="K56" i="12"/>
  <c r="K2" i="12"/>
  <c r="G3" i="17"/>
  <c r="G4" i="17"/>
  <c r="G5" i="17"/>
  <c r="G6" i="17"/>
  <c r="G7" i="17"/>
  <c r="G8" i="17"/>
  <c r="G9" i="17"/>
  <c r="G10" i="17"/>
  <c r="G11" i="17"/>
  <c r="G12" i="17"/>
  <c r="G13" i="17"/>
  <c r="G14" i="17"/>
  <c r="G15" i="17"/>
  <c r="G16" i="17"/>
  <c r="G17" i="17"/>
  <c r="G18" i="17"/>
  <c r="G19" i="17"/>
  <c r="G20" i="17"/>
  <c r="G21" i="17"/>
  <c r="G22" i="17"/>
  <c r="G23" i="17"/>
  <c r="G24" i="17"/>
  <c r="G25" i="17"/>
  <c r="G26" i="17"/>
  <c r="G27" i="17"/>
  <c r="G28" i="17"/>
  <c r="G29" i="17"/>
  <c r="G30" i="17"/>
  <c r="G31" i="17"/>
  <c r="G32" i="17"/>
  <c r="G33" i="17"/>
  <c r="G34" i="17"/>
  <c r="G35" i="17"/>
  <c r="G36" i="17"/>
  <c r="G37" i="17"/>
  <c r="G38" i="17"/>
  <c r="G39" i="17"/>
  <c r="G40" i="17"/>
  <c r="G41" i="17"/>
  <c r="G42" i="17"/>
  <c r="G43" i="17"/>
  <c r="G44" i="17"/>
  <c r="G45" i="17"/>
  <c r="G46" i="17"/>
  <c r="G47" i="17"/>
  <c r="G48" i="17"/>
  <c r="G49" i="17"/>
  <c r="G50" i="17"/>
  <c r="G51" i="17"/>
  <c r="G52" i="17"/>
  <c r="G53" i="17"/>
  <c r="G54" i="17"/>
  <c r="G55" i="17"/>
  <c r="G56" i="17"/>
  <c r="G2" i="17"/>
  <c r="P3" i="16" l="1"/>
  <c r="P4" i="16"/>
  <c r="P5" i="16"/>
  <c r="P6" i="16"/>
  <c r="P7" i="16"/>
  <c r="P8" i="16"/>
  <c r="P9" i="16"/>
  <c r="P10" i="16"/>
  <c r="P11" i="16"/>
  <c r="P12" i="16"/>
  <c r="P13" i="16"/>
  <c r="P14" i="16"/>
  <c r="P15" i="16"/>
  <c r="P16" i="16"/>
  <c r="P17" i="16"/>
  <c r="P18" i="16"/>
  <c r="P19" i="16"/>
  <c r="P20" i="16"/>
  <c r="P21" i="16"/>
  <c r="P22" i="16"/>
  <c r="P23" i="16"/>
  <c r="P24" i="16"/>
  <c r="P25" i="16"/>
  <c r="P26" i="16"/>
  <c r="P27" i="16"/>
  <c r="P28" i="16"/>
  <c r="P29" i="16"/>
  <c r="P30" i="16"/>
  <c r="P31" i="16"/>
  <c r="P32" i="16"/>
  <c r="P33" i="16"/>
  <c r="P34" i="16"/>
  <c r="P35" i="16"/>
  <c r="P36" i="16"/>
  <c r="P37" i="16"/>
  <c r="P38" i="16"/>
  <c r="P39" i="16"/>
  <c r="P40" i="16"/>
  <c r="P41" i="16"/>
  <c r="P42" i="16"/>
  <c r="P43" i="16"/>
  <c r="P44" i="16"/>
  <c r="P45" i="16"/>
  <c r="P46" i="16"/>
  <c r="P47" i="16"/>
  <c r="P48" i="16"/>
  <c r="P49" i="16"/>
  <c r="P50" i="16"/>
  <c r="P51" i="16"/>
  <c r="P52" i="16"/>
  <c r="P53" i="16"/>
  <c r="P54" i="16"/>
  <c r="P55" i="16"/>
  <c r="P56" i="16"/>
  <c r="P2" i="16"/>
  <c r="N3" i="15" l="1"/>
  <c r="N4" i="15"/>
  <c r="N5" i="15"/>
  <c r="N6" i="15"/>
  <c r="N7" i="15"/>
  <c r="N8" i="15"/>
  <c r="N9" i="15"/>
  <c r="N10" i="15"/>
  <c r="N11" i="15"/>
  <c r="N12" i="15"/>
  <c r="N13" i="15"/>
  <c r="N14" i="15"/>
  <c r="N15" i="15"/>
  <c r="N16" i="15"/>
  <c r="N17" i="15"/>
  <c r="N18" i="15"/>
  <c r="N19" i="15"/>
  <c r="N20" i="15"/>
  <c r="N21" i="15"/>
  <c r="N22" i="15"/>
  <c r="N23" i="15"/>
  <c r="N24" i="15"/>
  <c r="N25" i="15"/>
  <c r="N26" i="15"/>
  <c r="N27" i="15"/>
  <c r="N28" i="15"/>
  <c r="N29" i="15"/>
  <c r="N30" i="15"/>
  <c r="N31" i="15"/>
  <c r="N32" i="15"/>
  <c r="N33" i="15"/>
  <c r="N34" i="15"/>
  <c r="N35" i="15"/>
  <c r="N36" i="15"/>
  <c r="N37" i="15"/>
  <c r="N38" i="15"/>
  <c r="N39" i="15"/>
  <c r="N40" i="15"/>
  <c r="N41" i="15"/>
  <c r="N42" i="15"/>
  <c r="N43" i="15"/>
  <c r="N44" i="15"/>
  <c r="N45" i="15"/>
  <c r="N46" i="15"/>
  <c r="N47" i="15"/>
  <c r="N48" i="15"/>
  <c r="N49" i="15"/>
  <c r="N50" i="15"/>
  <c r="N51" i="15"/>
  <c r="N52" i="15"/>
  <c r="N53" i="15"/>
  <c r="N54" i="15"/>
  <c r="N55" i="15"/>
  <c r="N56" i="15"/>
  <c r="N2" i="15"/>
  <c r="Q3" i="14" l="1"/>
  <c r="Q4" i="14"/>
  <c r="Q5" i="14"/>
  <c r="Q6" i="14"/>
  <c r="Q7" i="14"/>
  <c r="Q8" i="14"/>
  <c r="Q9" i="14"/>
  <c r="Q10" i="14"/>
  <c r="Q11" i="14"/>
  <c r="Q12" i="14"/>
  <c r="Q13" i="14"/>
  <c r="Q14" i="14"/>
  <c r="Q15" i="14"/>
  <c r="Q16" i="14"/>
  <c r="Q17" i="14"/>
  <c r="Q18" i="14"/>
  <c r="Q19" i="14"/>
  <c r="Q20" i="14"/>
  <c r="Q21" i="14"/>
  <c r="Q22" i="14"/>
  <c r="Q23" i="14"/>
  <c r="Q24" i="14"/>
  <c r="Q25" i="14"/>
  <c r="Q26" i="14"/>
  <c r="Q27" i="14"/>
  <c r="Q28" i="14"/>
  <c r="Q29" i="14"/>
  <c r="Q30" i="14"/>
  <c r="Q31" i="14"/>
  <c r="Q32" i="14"/>
  <c r="Q33" i="14"/>
  <c r="Q34" i="14"/>
  <c r="Q35" i="14"/>
  <c r="Q36" i="14"/>
  <c r="Q37" i="14"/>
  <c r="Q38" i="14"/>
  <c r="Q39" i="14"/>
  <c r="Q40" i="14"/>
  <c r="Q41" i="14"/>
  <c r="Q42" i="14"/>
  <c r="Q43" i="14"/>
  <c r="Q44" i="14"/>
  <c r="Q45" i="14"/>
  <c r="Q46" i="14"/>
  <c r="Q47" i="14"/>
  <c r="Q48" i="14"/>
  <c r="Q49" i="14"/>
  <c r="Q50" i="14"/>
  <c r="Q51" i="14"/>
  <c r="Q52" i="14"/>
  <c r="Q53" i="14"/>
  <c r="Q54" i="14"/>
  <c r="Q55" i="14"/>
  <c r="Q56" i="14"/>
  <c r="Q2" i="14"/>
  <c r="H3" i="13" l="1"/>
  <c r="H4" i="13"/>
  <c r="H5" i="13"/>
  <c r="H6" i="13"/>
  <c r="H7" i="13"/>
  <c r="H8" i="13"/>
  <c r="H9" i="13"/>
  <c r="H10" i="13"/>
  <c r="H11" i="13"/>
  <c r="H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H34" i="13"/>
  <c r="H35" i="13"/>
  <c r="H36" i="13"/>
  <c r="H37" i="13"/>
  <c r="H38" i="13"/>
  <c r="H39" i="13"/>
  <c r="H40" i="13"/>
  <c r="H41" i="13"/>
  <c r="H42" i="13"/>
  <c r="H43" i="13"/>
  <c r="H44" i="13"/>
  <c r="H45" i="13"/>
  <c r="H46" i="13"/>
  <c r="H47" i="13"/>
  <c r="H48" i="13"/>
  <c r="H49" i="13"/>
  <c r="H50" i="13"/>
  <c r="H51" i="13"/>
  <c r="H52" i="13"/>
  <c r="H53" i="13"/>
  <c r="H54" i="13"/>
  <c r="H55" i="13"/>
  <c r="H56" i="13"/>
  <c r="H2" i="13"/>
  <c r="U3" i="11" l="1"/>
  <c r="U4" i="11"/>
  <c r="U5" i="11"/>
  <c r="U6" i="11"/>
  <c r="U7" i="11"/>
  <c r="U8" i="11"/>
  <c r="U9" i="11"/>
  <c r="U10" i="11"/>
  <c r="U11" i="11"/>
  <c r="U12" i="11"/>
  <c r="U13" i="11"/>
  <c r="U14" i="11"/>
  <c r="U15" i="11"/>
  <c r="U16" i="11"/>
  <c r="U17" i="11"/>
  <c r="U18" i="11"/>
  <c r="U19" i="11"/>
  <c r="U20" i="11"/>
  <c r="U21" i="11"/>
  <c r="U22" i="11"/>
  <c r="U23" i="11"/>
  <c r="U24" i="11"/>
  <c r="U25" i="11"/>
  <c r="U26" i="11"/>
  <c r="U27" i="11"/>
  <c r="U28" i="11"/>
  <c r="U29" i="11"/>
  <c r="U30" i="11"/>
  <c r="U31" i="11"/>
  <c r="U32" i="11"/>
  <c r="U33" i="11"/>
  <c r="U34" i="11"/>
  <c r="U35" i="11"/>
  <c r="U36" i="11"/>
  <c r="U37" i="11"/>
  <c r="U38" i="11"/>
  <c r="U39" i="11"/>
  <c r="U40" i="11"/>
  <c r="U41" i="11"/>
  <c r="U42" i="11"/>
  <c r="U43" i="11"/>
  <c r="U44" i="11"/>
  <c r="U45" i="11"/>
  <c r="U46" i="11"/>
  <c r="U47" i="11"/>
  <c r="U48" i="11"/>
  <c r="U49" i="11"/>
  <c r="U50" i="11"/>
  <c r="U51" i="11"/>
  <c r="U52" i="11"/>
  <c r="U53" i="11"/>
  <c r="U54" i="11"/>
  <c r="U55" i="11"/>
  <c r="U56" i="11"/>
  <c r="U2" i="11"/>
  <c r="Q3" i="10" l="1"/>
  <c r="Q4" i="10"/>
  <c r="Q5" i="10"/>
  <c r="Q6" i="10"/>
  <c r="Q7" i="10"/>
  <c r="Q8" i="10"/>
  <c r="Q9" i="10"/>
  <c r="Q10" i="10"/>
  <c r="Q11" i="10"/>
  <c r="Q12" i="10"/>
  <c r="Q13" i="10"/>
  <c r="Q14" i="10"/>
  <c r="Q15" i="10"/>
  <c r="Q16" i="10"/>
  <c r="Q17" i="10"/>
  <c r="Q18" i="10"/>
  <c r="Q19" i="10"/>
  <c r="Q20" i="10"/>
  <c r="Q21" i="10"/>
  <c r="Q22" i="10"/>
  <c r="Q23" i="10"/>
  <c r="Q24" i="10"/>
  <c r="Q25" i="10"/>
  <c r="Q26" i="10"/>
  <c r="Q27" i="10"/>
  <c r="Q28" i="10"/>
  <c r="Q29" i="10"/>
  <c r="Q30" i="10"/>
  <c r="Q31" i="10"/>
  <c r="Q32" i="10"/>
  <c r="Q33" i="10"/>
  <c r="Q34" i="10"/>
  <c r="Q35" i="10"/>
  <c r="Q36" i="10"/>
  <c r="Q37" i="10"/>
  <c r="Q38" i="10"/>
  <c r="Q39" i="10"/>
  <c r="Q40" i="10"/>
  <c r="Q41" i="10"/>
  <c r="Q42" i="10"/>
  <c r="Q43" i="10"/>
  <c r="Q44" i="10"/>
  <c r="Q45" i="10"/>
  <c r="Q46" i="10"/>
  <c r="Q47" i="10"/>
  <c r="Q48" i="10"/>
  <c r="Q49" i="10"/>
  <c r="Q50" i="10"/>
  <c r="Q51" i="10"/>
  <c r="Q52" i="10"/>
  <c r="Q53" i="10"/>
  <c r="Q54" i="10"/>
  <c r="Q55" i="10"/>
  <c r="Q56" i="10"/>
  <c r="Q2" i="10"/>
  <c r="O3" i="9" l="1"/>
  <c r="O4" i="9"/>
  <c r="O5" i="9"/>
  <c r="O6" i="9"/>
  <c r="O7" i="9"/>
  <c r="O8" i="9"/>
  <c r="O9" i="9"/>
  <c r="O10" i="9"/>
  <c r="O11" i="9"/>
  <c r="O12" i="9"/>
  <c r="O13" i="9"/>
  <c r="O14" i="9"/>
  <c r="O15" i="9"/>
  <c r="O16" i="9"/>
  <c r="O17" i="9"/>
  <c r="O18" i="9"/>
  <c r="O19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O33" i="9"/>
  <c r="O34" i="9"/>
  <c r="O35" i="9"/>
  <c r="O36" i="9"/>
  <c r="O37" i="9"/>
  <c r="O38" i="9"/>
  <c r="O39" i="9"/>
  <c r="O40" i="9"/>
  <c r="O41" i="9"/>
  <c r="O42" i="9"/>
  <c r="O43" i="9"/>
  <c r="O44" i="9"/>
  <c r="O45" i="9"/>
  <c r="O46" i="9"/>
  <c r="O47" i="9"/>
  <c r="O48" i="9"/>
  <c r="O49" i="9"/>
  <c r="O50" i="9"/>
  <c r="O51" i="9"/>
  <c r="O52" i="9"/>
  <c r="O53" i="9"/>
  <c r="O54" i="9"/>
  <c r="O55" i="9"/>
  <c r="O56" i="9"/>
  <c r="O2" i="9"/>
  <c r="M3" i="8" l="1"/>
  <c r="M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M32" i="8"/>
  <c r="M33" i="8"/>
  <c r="M34" i="8"/>
  <c r="M35" i="8"/>
  <c r="M36" i="8"/>
  <c r="M37" i="8"/>
  <c r="M38" i="8"/>
  <c r="M39" i="8"/>
  <c r="M40" i="8"/>
  <c r="M41" i="8"/>
  <c r="M42" i="8"/>
  <c r="M43" i="8"/>
  <c r="M44" i="8"/>
  <c r="M45" i="8"/>
  <c r="M46" i="8"/>
  <c r="M47" i="8"/>
  <c r="M48" i="8"/>
  <c r="M49" i="8"/>
  <c r="M50" i="8"/>
  <c r="M51" i="8"/>
  <c r="M52" i="8"/>
  <c r="M53" i="8"/>
  <c r="M54" i="8"/>
  <c r="M55" i="8"/>
  <c r="M56" i="8"/>
  <c r="M2" i="8"/>
  <c r="Q3" i="7" l="1"/>
  <c r="Q4" i="7"/>
  <c r="Q5" i="7"/>
  <c r="Q6" i="7"/>
  <c r="Q7" i="7"/>
  <c r="Q8" i="7"/>
  <c r="Q9" i="7"/>
  <c r="Q10" i="7"/>
  <c r="Q11" i="7"/>
  <c r="Q12" i="7"/>
  <c r="Q13" i="7"/>
  <c r="Q14" i="7"/>
  <c r="Q15" i="7"/>
  <c r="Q16" i="7"/>
  <c r="Q17" i="7"/>
  <c r="Q18" i="7"/>
  <c r="Q19" i="7"/>
  <c r="Q20" i="7"/>
  <c r="Q21" i="7"/>
  <c r="Q22" i="7"/>
  <c r="Q23" i="7"/>
  <c r="Q24" i="7"/>
  <c r="Q25" i="7"/>
  <c r="Q26" i="7"/>
  <c r="Q27" i="7"/>
  <c r="Q28" i="7"/>
  <c r="Q29" i="7"/>
  <c r="Q30" i="7"/>
  <c r="Q31" i="7"/>
  <c r="Q32" i="7"/>
  <c r="Q33" i="7"/>
  <c r="Q34" i="7"/>
  <c r="Q35" i="7"/>
  <c r="Q36" i="7"/>
  <c r="Q37" i="7"/>
  <c r="Q38" i="7"/>
  <c r="Q39" i="7"/>
  <c r="Q40" i="7"/>
  <c r="Q41" i="7"/>
  <c r="Q42" i="7"/>
  <c r="Q43" i="7"/>
  <c r="Q44" i="7"/>
  <c r="Q45" i="7"/>
  <c r="Q46" i="7"/>
  <c r="Q47" i="7"/>
  <c r="Q48" i="7"/>
  <c r="Q49" i="7"/>
  <c r="Q50" i="7"/>
  <c r="Q51" i="7"/>
  <c r="Q52" i="7"/>
  <c r="Q53" i="7"/>
  <c r="Q54" i="7"/>
  <c r="Q55" i="7"/>
  <c r="Q56" i="7"/>
  <c r="Q2" i="7"/>
  <c r="M3" i="6" l="1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2" i="6"/>
  <c r="K9" i="5" l="1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U3" i="4" l="1"/>
  <c r="U4" i="4"/>
  <c r="U5" i="4"/>
  <c r="U6" i="4"/>
  <c r="U7" i="4"/>
  <c r="U8" i="4"/>
  <c r="U9" i="4"/>
  <c r="U10" i="4"/>
  <c r="U11" i="4"/>
  <c r="U12" i="4"/>
  <c r="U13" i="4"/>
  <c r="U14" i="4"/>
  <c r="U15" i="4"/>
  <c r="U16" i="4"/>
  <c r="U17" i="4"/>
  <c r="U18" i="4"/>
  <c r="U19" i="4"/>
  <c r="U20" i="4"/>
  <c r="U21" i="4"/>
  <c r="U22" i="4"/>
  <c r="U23" i="4"/>
  <c r="U24" i="4"/>
  <c r="U25" i="4"/>
  <c r="U26" i="4"/>
  <c r="U27" i="4"/>
  <c r="U28" i="4"/>
  <c r="U29" i="4"/>
  <c r="U30" i="4"/>
  <c r="U31" i="4"/>
  <c r="U32" i="4"/>
  <c r="U33" i="4"/>
  <c r="U34" i="4"/>
  <c r="U35" i="4"/>
  <c r="U36" i="4"/>
  <c r="U37" i="4"/>
  <c r="U38" i="4"/>
  <c r="U39" i="4"/>
  <c r="U40" i="4"/>
  <c r="U41" i="4"/>
  <c r="U42" i="4"/>
  <c r="U43" i="4"/>
  <c r="U44" i="4"/>
  <c r="U45" i="4"/>
  <c r="U46" i="4"/>
  <c r="U47" i="4"/>
  <c r="U48" i="4"/>
  <c r="U49" i="4"/>
  <c r="U50" i="4"/>
  <c r="U51" i="4"/>
  <c r="U52" i="4"/>
  <c r="U53" i="4"/>
  <c r="U54" i="4"/>
  <c r="U55" i="4"/>
  <c r="U56" i="4"/>
  <c r="U2" i="4"/>
  <c r="S3" i="3" l="1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37" i="3"/>
  <c r="S38" i="3"/>
  <c r="S39" i="3"/>
  <c r="S40" i="3"/>
  <c r="S41" i="3"/>
  <c r="S42" i="3"/>
  <c r="S43" i="3"/>
  <c r="S44" i="3"/>
  <c r="S45" i="3"/>
  <c r="S46" i="3"/>
  <c r="S47" i="3"/>
  <c r="S48" i="3"/>
  <c r="S49" i="3"/>
  <c r="S50" i="3"/>
  <c r="S51" i="3"/>
  <c r="S52" i="3"/>
  <c r="S53" i="3"/>
  <c r="S54" i="3"/>
  <c r="S55" i="3"/>
  <c r="S56" i="3"/>
  <c r="S2" i="3"/>
  <c r="P3" i="2" l="1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2" i="2"/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</calcChain>
</file>

<file path=xl/sharedStrings.xml><?xml version="1.0" encoding="utf-8"?>
<sst xmlns="http://schemas.openxmlformats.org/spreadsheetml/2006/main" count="232" uniqueCount="215">
  <si>
    <t>Аксуат</t>
  </si>
  <si>
    <t>Баршатас</t>
  </si>
  <si>
    <t>Бакты</t>
  </si>
  <si>
    <t>Дмитривка</t>
  </si>
  <si>
    <t>Жалгызтобе</t>
  </si>
  <si>
    <t>Кайнар</t>
  </si>
  <si>
    <t>Кокпекты</t>
  </si>
  <si>
    <t>Семиярка</t>
  </si>
  <si>
    <t>Уржар</t>
  </si>
  <si>
    <t>Шалабай</t>
  </si>
  <si>
    <t>Шар</t>
  </si>
  <si>
    <t>Акколь</t>
  </si>
  <si>
    <t>Аршалы</t>
  </si>
  <si>
    <t>Астана</t>
  </si>
  <si>
    <t>Атбасар</t>
  </si>
  <si>
    <t>Балкашино</t>
  </si>
  <si>
    <t>Егиндиколь</t>
  </si>
  <si>
    <t>Ерейментау</t>
  </si>
  <si>
    <t>Есиль</t>
  </si>
  <si>
    <t>Жаксы</t>
  </si>
  <si>
    <t>Жалтыр</t>
  </si>
  <si>
    <t>Кокшетау</t>
  </si>
  <si>
    <t>Коргалжын</t>
  </si>
  <si>
    <t>Степногорск</t>
  </si>
  <si>
    <t>Щучинск</t>
  </si>
  <si>
    <t>Актобе</t>
  </si>
  <si>
    <t>Аяккум</t>
  </si>
  <si>
    <t>Ильийнский</t>
  </si>
  <si>
    <t>Иргиз</t>
  </si>
  <si>
    <t>Карабутак</t>
  </si>
  <si>
    <t>Карауылкельды</t>
  </si>
  <si>
    <t>Комсомольское</t>
  </si>
  <si>
    <t>Кос-Истек</t>
  </si>
  <si>
    <t>Мартук</t>
  </si>
  <si>
    <t>Мугоджарская</t>
  </si>
  <si>
    <t>Новоалексеевка</t>
  </si>
  <si>
    <t>Нура</t>
  </si>
  <si>
    <t>Родниковка</t>
  </si>
  <si>
    <t>Темир</t>
  </si>
  <si>
    <t>Уил</t>
  </si>
  <si>
    <t>Шалкар</t>
  </si>
  <si>
    <t>Эмба</t>
  </si>
  <si>
    <t>Айдарлы</t>
  </si>
  <si>
    <t>Аксенгер</t>
  </si>
  <si>
    <t>Алматы</t>
  </si>
  <si>
    <t>Алматы кам пл</t>
  </si>
  <si>
    <t>Ауыл 4</t>
  </si>
  <si>
    <t>Баканас</t>
  </si>
  <si>
    <t>о улкен Алматы</t>
  </si>
  <si>
    <t>Есик</t>
  </si>
  <si>
    <t>Жаланаш</t>
  </si>
  <si>
    <t>Капшагай</t>
  </si>
  <si>
    <t>Кеген</t>
  </si>
  <si>
    <t>Куйган</t>
  </si>
  <si>
    <t>Мынжылкы</t>
  </si>
  <si>
    <t>Нарынкол</t>
  </si>
  <si>
    <t>Кыргызсай</t>
  </si>
  <si>
    <t>Узынагаш</t>
  </si>
  <si>
    <t>Шелек</t>
  </si>
  <si>
    <t>Шымбулак</t>
  </si>
  <si>
    <t>Карашокы</t>
  </si>
  <si>
    <t>Атырау</t>
  </si>
  <si>
    <t>Ганюшкино</t>
  </si>
  <si>
    <t>Индерборский</t>
  </si>
  <si>
    <t>Карабау</t>
  </si>
  <si>
    <t>Кульсары</t>
  </si>
  <si>
    <t>Махамбет</t>
  </si>
  <si>
    <t>Новый Уштоган</t>
  </si>
  <si>
    <t>Пешной</t>
  </si>
  <si>
    <t>Сагиз</t>
  </si>
  <si>
    <t>Акжар</t>
  </si>
  <si>
    <t>Зайсан</t>
  </si>
  <si>
    <t>Катон-Карагай</t>
  </si>
  <si>
    <t>Куршим</t>
  </si>
  <si>
    <t>Лениногорск</t>
  </si>
  <si>
    <t>Зап Маркаколь</t>
  </si>
  <si>
    <t>Самарка</t>
  </si>
  <si>
    <t>Теректы</t>
  </si>
  <si>
    <t>Тугыл</t>
  </si>
  <si>
    <t>Улкен-Нарын</t>
  </si>
  <si>
    <t>Шемонайха</t>
  </si>
  <si>
    <t>Каратау</t>
  </si>
  <si>
    <t>Кордай</t>
  </si>
  <si>
    <t>Кулан</t>
  </si>
  <si>
    <t>Мерке</t>
  </si>
  <si>
    <t>Мойынкум</t>
  </si>
  <si>
    <t>Нурлыкент</t>
  </si>
  <si>
    <t>Отар</t>
  </si>
  <si>
    <t>Саудакент</t>
  </si>
  <si>
    <t>Тараз</t>
  </si>
  <si>
    <t>Толеби</t>
  </si>
  <si>
    <t>Уланбель</t>
  </si>
  <si>
    <t>Уюк</t>
  </si>
  <si>
    <t>Хантау</t>
  </si>
  <si>
    <t>Чиганак</t>
  </si>
  <si>
    <t>Шокпар</t>
  </si>
  <si>
    <t>Алаколь</t>
  </si>
  <si>
    <t>Жаркент</t>
  </si>
  <si>
    <t>Когалы</t>
  </si>
  <si>
    <t>Лепси</t>
  </si>
  <si>
    <t>Матай</t>
  </si>
  <si>
    <t>Сарканд</t>
  </si>
  <si>
    <t>Сарыозек</t>
  </si>
  <si>
    <t>Талдыкорган</t>
  </si>
  <si>
    <t>Текели</t>
  </si>
  <si>
    <t>Учарал</t>
  </si>
  <si>
    <t>Уштобе</t>
  </si>
  <si>
    <t>Аксай</t>
  </si>
  <si>
    <t>Джамбейты</t>
  </si>
  <si>
    <t>Джаныбек</t>
  </si>
  <si>
    <t>Жалпактал</t>
  </si>
  <si>
    <t>Казталовка</t>
  </si>
  <si>
    <t>Каменка</t>
  </si>
  <si>
    <t>Каратобе</t>
  </si>
  <si>
    <t>Тайпак</t>
  </si>
  <si>
    <t>Уральск</t>
  </si>
  <si>
    <t>Урда</t>
  </si>
  <si>
    <t>Чапаево</t>
  </si>
  <si>
    <t>Чингирлау</t>
  </si>
  <si>
    <t>Январцево</t>
  </si>
  <si>
    <t>Акадырь</t>
  </si>
  <si>
    <t>Аксу-аюлы</t>
  </si>
  <si>
    <t>Актогай</t>
  </si>
  <si>
    <t>Балкаш</t>
  </si>
  <si>
    <t>Бектауата</t>
  </si>
  <si>
    <t>Бес-оба</t>
  </si>
  <si>
    <t>Жарык</t>
  </si>
  <si>
    <t>Караганды</t>
  </si>
  <si>
    <t>Караг сх</t>
  </si>
  <si>
    <t>Кертинди</t>
  </si>
  <si>
    <t>Кызылтау</t>
  </si>
  <si>
    <t>Корнеевка</t>
  </si>
  <si>
    <t>Родниковское</t>
  </si>
  <si>
    <t>Сарышаган</t>
  </si>
  <si>
    <t>Саяк</t>
  </si>
  <si>
    <t>Амангельды</t>
  </si>
  <si>
    <t>Аркалык</t>
  </si>
  <si>
    <t>Аршалинский</t>
  </si>
  <si>
    <t>Бестау</t>
  </si>
  <si>
    <t>Джетыгара</t>
  </si>
  <si>
    <t>Диевская</t>
  </si>
  <si>
    <t>Докучаевка</t>
  </si>
  <si>
    <t>Железнодоржный</t>
  </si>
  <si>
    <t>Карасу</t>
  </si>
  <si>
    <t>Комсомолец (карабалык)</t>
  </si>
  <si>
    <t>Костанай</t>
  </si>
  <si>
    <t>Кушмурын</t>
  </si>
  <si>
    <t>Михайловка</t>
  </si>
  <si>
    <t>Пресногорьковка</t>
  </si>
  <si>
    <t>Рудный</t>
  </si>
  <si>
    <t>Тобол</t>
  </si>
  <si>
    <t>Торгай</t>
  </si>
  <si>
    <t>Урицкий</t>
  </si>
  <si>
    <t>Экидын</t>
  </si>
  <si>
    <t>Аккум</t>
  </si>
  <si>
    <t>Аральское море</t>
  </si>
  <si>
    <t>Джусалы</t>
  </si>
  <si>
    <t>Злиха</t>
  </si>
  <si>
    <t>Казалинск</t>
  </si>
  <si>
    <t>Карак</t>
  </si>
  <si>
    <t>Кызылорда</t>
  </si>
  <si>
    <t>Чиили</t>
  </si>
  <si>
    <t>Чирик-Рабат</t>
  </si>
  <si>
    <t>Актау</t>
  </si>
  <si>
    <t>Бейнеу</t>
  </si>
  <si>
    <t>Кызан</t>
  </si>
  <si>
    <t xml:space="preserve">Сам   </t>
  </si>
  <si>
    <t>Тущибек</t>
  </si>
  <si>
    <t xml:space="preserve">Форт-Шевченко               </t>
  </si>
  <si>
    <t>Баянауыл</t>
  </si>
  <si>
    <t>Голубовка</t>
  </si>
  <si>
    <t>Екибастуз</t>
  </si>
  <si>
    <t>Ертис</t>
  </si>
  <si>
    <t>Жолболды</t>
  </si>
  <si>
    <t>Коктобе</t>
  </si>
  <si>
    <t>Красноармейка</t>
  </si>
  <si>
    <t>Лозовая</t>
  </si>
  <si>
    <t>Павлодар</t>
  </si>
  <si>
    <t>Успенка</t>
  </si>
  <si>
    <t>Федоровка</t>
  </si>
  <si>
    <t>Шалдай</t>
  </si>
  <si>
    <t>Щарбакты</t>
  </si>
  <si>
    <t>Благовещенка</t>
  </si>
  <si>
    <t>Булаево</t>
  </si>
  <si>
    <t>Возвышенка</t>
  </si>
  <si>
    <t>Кишкенеколь</t>
  </si>
  <si>
    <t>Петропавловск</t>
  </si>
  <si>
    <t>Рузаевка</t>
  </si>
  <si>
    <t>Саумалколь</t>
  </si>
  <si>
    <t>Сергеевка</t>
  </si>
  <si>
    <t>Тайынша</t>
  </si>
  <si>
    <t>Тимирязево</t>
  </si>
  <si>
    <t>Чкалово</t>
  </si>
  <si>
    <t>Явленка</t>
  </si>
  <si>
    <t>Арыс</t>
  </si>
  <si>
    <t>аул Т.Рыскулова</t>
  </si>
  <si>
    <t>Ачисай</t>
  </si>
  <si>
    <t>Жетысай</t>
  </si>
  <si>
    <t>Казыгурт</t>
  </si>
  <si>
    <t>Кызылкум</t>
  </si>
  <si>
    <t>Тасарык</t>
  </si>
  <si>
    <t>Тасты</t>
  </si>
  <si>
    <t>Туркестан</t>
  </si>
  <si>
    <t>Чардара</t>
  </si>
  <si>
    <t>Чаян</t>
  </si>
  <si>
    <t>Чулаккорган</t>
  </si>
  <si>
    <t>Чууылдак</t>
  </si>
  <si>
    <t>Шымкент</t>
  </si>
  <si>
    <t>Жана-Арка</t>
  </si>
  <si>
    <t>Кызылжар</t>
  </si>
  <si>
    <t>Джетыконур</t>
  </si>
  <si>
    <t>Джезказган</t>
  </si>
  <si>
    <t>Кулжамбай</t>
  </si>
  <si>
    <t xml:space="preserve">запас воды в снеге, см
</t>
  </si>
  <si>
    <t>запас воды в снеге, см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</si>
</sst>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charset val="204"/>
    </font>
    <font>
      <sz val="10"/>
      <color rgb="FF59595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1" fontId="0" fillId="0" borderId="0" xfId="0" applyNumberFormat="1"/>
    <xf numFmtId="0" fontId="0" fillId="0" borderId="0" xfId="0" applyNumberFormat="1"/>
    <xf numFmtId="0" fontId="0" fillId="0" borderId="0" xfId="0" applyAlignment="1">
      <alignment wrapText="1"/>
    </xf>
    <xf numFmtId="0" fontId="2" fillId="0" borderId="0" xfId="0" applyFont="1" applyAlignment="1">
      <alignment horizontal="center" vertical="center" readingOrder="1"/>
    </xf>
  </cellXfs>
  <cellStyles count="2">
    <cellStyle name="Excel Built-in Normal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7144172767877693E-2"/>
          <c:y val="4.1198501872659173E-2"/>
          <c:w val="0.87712483308007549"/>
          <c:h val="0.83820873514406202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3.7567251461988305E-2"/>
                  <c:y val="0.3474375534518859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'Абайская '!$A$2:$A$56</c:f>
              <c:numCache>
                <c:formatCode>General</c:formatCode>
                <c:ptCount val="55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  <c:pt idx="45">
                  <c:v>2016</c:v>
                </c:pt>
                <c:pt idx="46">
                  <c:v>2017</c:v>
                </c:pt>
                <c:pt idx="47">
                  <c:v>2018</c:v>
                </c:pt>
                <c:pt idx="48">
                  <c:v>2019</c:v>
                </c:pt>
                <c:pt idx="49">
                  <c:v>2020</c:v>
                </c:pt>
                <c:pt idx="50">
                  <c:v>2021</c:v>
                </c:pt>
                <c:pt idx="51">
                  <c:v>2022</c:v>
                </c:pt>
                <c:pt idx="52">
                  <c:v>2023</c:v>
                </c:pt>
                <c:pt idx="53">
                  <c:v>2024</c:v>
                </c:pt>
                <c:pt idx="54">
                  <c:v>2025</c:v>
                </c:pt>
              </c:numCache>
            </c:numRef>
          </c:xVal>
          <c:yVal>
            <c:numRef>
              <c:f>'Абайская '!$M$2:$M$56</c:f>
              <c:numCache>
                <c:formatCode>0</c:formatCode>
                <c:ptCount val="55"/>
                <c:pt idx="0">
                  <c:v>101.90909090909091</c:v>
                </c:pt>
                <c:pt idx="1">
                  <c:v>95.090909090909093</c:v>
                </c:pt>
                <c:pt idx="2">
                  <c:v>79.818181818181813</c:v>
                </c:pt>
                <c:pt idx="3">
                  <c:v>47.909090909090907</c:v>
                </c:pt>
                <c:pt idx="4">
                  <c:v>65.909090909090907</c:v>
                </c:pt>
                <c:pt idx="5">
                  <c:v>57.272727272727273</c:v>
                </c:pt>
                <c:pt idx="6">
                  <c:v>97.818181818181813</c:v>
                </c:pt>
                <c:pt idx="7">
                  <c:v>89.9</c:v>
                </c:pt>
                <c:pt idx="8">
                  <c:v>101.94500000000001</c:v>
                </c:pt>
                <c:pt idx="9">
                  <c:v>44.82</c:v>
                </c:pt>
                <c:pt idx="10">
                  <c:v>51.86999999999999</c:v>
                </c:pt>
                <c:pt idx="11">
                  <c:v>68.239999999999995</c:v>
                </c:pt>
                <c:pt idx="12">
                  <c:v>42.94</c:v>
                </c:pt>
                <c:pt idx="13">
                  <c:v>56.491</c:v>
                </c:pt>
                <c:pt idx="14">
                  <c:v>95.432999999999993</c:v>
                </c:pt>
                <c:pt idx="15">
                  <c:v>70.438999999999993</c:v>
                </c:pt>
                <c:pt idx="16">
                  <c:v>89.6</c:v>
                </c:pt>
                <c:pt idx="17">
                  <c:v>89</c:v>
                </c:pt>
                <c:pt idx="18">
                  <c:v>51.9</c:v>
                </c:pt>
                <c:pt idx="19">
                  <c:v>87.4</c:v>
                </c:pt>
                <c:pt idx="20">
                  <c:v>79.900000000000006</c:v>
                </c:pt>
                <c:pt idx="21">
                  <c:v>75.099999999999994</c:v>
                </c:pt>
                <c:pt idx="22">
                  <c:v>106.3</c:v>
                </c:pt>
                <c:pt idx="23">
                  <c:v>83.2</c:v>
                </c:pt>
                <c:pt idx="24">
                  <c:v>44.4</c:v>
                </c:pt>
                <c:pt idx="25">
                  <c:v>45.4</c:v>
                </c:pt>
                <c:pt idx="26">
                  <c:v>95.6</c:v>
                </c:pt>
                <c:pt idx="27">
                  <c:v>151.30000000000001</c:v>
                </c:pt>
                <c:pt idx="28">
                  <c:v>83.7</c:v>
                </c:pt>
                <c:pt idx="29">
                  <c:v>67.400000000000006</c:v>
                </c:pt>
                <c:pt idx="30">
                  <c:v>160.80000000000001</c:v>
                </c:pt>
                <c:pt idx="31">
                  <c:v>44.9</c:v>
                </c:pt>
                <c:pt idx="32">
                  <c:v>133.5</c:v>
                </c:pt>
                <c:pt idx="33">
                  <c:v>80.7</c:v>
                </c:pt>
                <c:pt idx="34">
                  <c:v>52.6</c:v>
                </c:pt>
                <c:pt idx="35">
                  <c:v>98.1</c:v>
                </c:pt>
                <c:pt idx="36">
                  <c:v>80</c:v>
                </c:pt>
                <c:pt idx="37">
                  <c:v>81.900000000000006</c:v>
                </c:pt>
                <c:pt idx="38">
                  <c:v>97.36363636363636</c:v>
                </c:pt>
                <c:pt idx="39">
                  <c:v>158.63636363636363</c:v>
                </c:pt>
                <c:pt idx="40">
                  <c:v>92.181818181818187</c:v>
                </c:pt>
                <c:pt idx="41">
                  <c:v>74.272727272727266</c:v>
                </c:pt>
                <c:pt idx="42">
                  <c:v>153.09090909090909</c:v>
                </c:pt>
                <c:pt idx="43">
                  <c:v>103.18181818181819</c:v>
                </c:pt>
                <c:pt idx="44">
                  <c:v>96.727272727272734</c:v>
                </c:pt>
                <c:pt idx="45">
                  <c:v>127.27272727272727</c:v>
                </c:pt>
                <c:pt idx="46">
                  <c:v>110.27272727272727</c:v>
                </c:pt>
                <c:pt idx="47">
                  <c:v>50.272727272727273</c:v>
                </c:pt>
                <c:pt idx="48">
                  <c:v>90</c:v>
                </c:pt>
                <c:pt idx="49">
                  <c:v>102.90909090909091</c:v>
                </c:pt>
                <c:pt idx="50">
                  <c:v>72.454545454545453</c:v>
                </c:pt>
                <c:pt idx="51">
                  <c:v>70.181818181818187</c:v>
                </c:pt>
                <c:pt idx="52">
                  <c:v>127.09090909090909</c:v>
                </c:pt>
                <c:pt idx="53">
                  <c:v>74.818181818181813</c:v>
                </c:pt>
                <c:pt idx="54">
                  <c:v>86.818181818181813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23B-44B1-A1AD-7ACF962059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8538887"/>
        <c:axId val="468540935"/>
      </c:scatterChart>
      <c:valAx>
        <c:axId val="468538887"/>
        <c:scaling>
          <c:orientation val="minMax"/>
          <c:max val="2025"/>
          <c:min val="197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68540935"/>
        <c:crosses val="autoZero"/>
        <c:crossBetween val="midCat"/>
        <c:majorUnit val="1"/>
      </c:valAx>
      <c:valAx>
        <c:axId val="468540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запас</a:t>
                </a:r>
                <a:r>
                  <a:rPr lang="ru-RU" baseline="0"/>
                  <a:t> воды в снеге, см</a:t>
                </a:r>
                <a:endParaRPr lang="ru-RU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685388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995203185808671"/>
          <c:y val="4.1785375118708452E-2"/>
          <c:w val="0.84476061182007423"/>
          <c:h val="0.77512528882607623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8666666666666668E-2"/>
                  <c:y val="0.4180604347533481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Акмолинская!$A$2:$A$56</c:f>
              <c:numCache>
                <c:formatCode>General</c:formatCode>
                <c:ptCount val="55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  <c:pt idx="45">
                  <c:v>2016</c:v>
                </c:pt>
                <c:pt idx="46">
                  <c:v>2017</c:v>
                </c:pt>
                <c:pt idx="47">
                  <c:v>2018</c:v>
                </c:pt>
                <c:pt idx="48">
                  <c:v>2019</c:v>
                </c:pt>
                <c:pt idx="49">
                  <c:v>2020</c:v>
                </c:pt>
                <c:pt idx="50">
                  <c:v>2021</c:v>
                </c:pt>
                <c:pt idx="51">
                  <c:v>2022</c:v>
                </c:pt>
                <c:pt idx="52">
                  <c:v>2023</c:v>
                </c:pt>
                <c:pt idx="53">
                  <c:v>2024</c:v>
                </c:pt>
                <c:pt idx="54">
                  <c:v>2025</c:v>
                </c:pt>
              </c:numCache>
            </c:numRef>
          </c:xVal>
          <c:yVal>
            <c:numRef>
              <c:f>Акмолинская!$P$2:$P$56</c:f>
              <c:numCache>
                <c:formatCode>0</c:formatCode>
                <c:ptCount val="55"/>
                <c:pt idx="0">
                  <c:v>69.36363636363636</c:v>
                </c:pt>
                <c:pt idx="1">
                  <c:v>68.454545454545453</c:v>
                </c:pt>
                <c:pt idx="2">
                  <c:v>86.727272727272734</c:v>
                </c:pt>
                <c:pt idx="3">
                  <c:v>60</c:v>
                </c:pt>
                <c:pt idx="4">
                  <c:v>68.416666666666671</c:v>
                </c:pt>
                <c:pt idx="5">
                  <c:v>71.083333333333329</c:v>
                </c:pt>
                <c:pt idx="6">
                  <c:v>87.166666666666671</c:v>
                </c:pt>
                <c:pt idx="7">
                  <c:v>49.51</c:v>
                </c:pt>
                <c:pt idx="8">
                  <c:v>97.30416666666666</c:v>
                </c:pt>
                <c:pt idx="9">
                  <c:v>58.764166666666661</c:v>
                </c:pt>
                <c:pt idx="10">
                  <c:v>73.083333333333329</c:v>
                </c:pt>
                <c:pt idx="11">
                  <c:v>63.308333333333337</c:v>
                </c:pt>
                <c:pt idx="12">
                  <c:v>84.794999999999987</c:v>
                </c:pt>
                <c:pt idx="13">
                  <c:v>61.595833333333331</c:v>
                </c:pt>
                <c:pt idx="14">
                  <c:v>82.850000000000009</c:v>
                </c:pt>
                <c:pt idx="15">
                  <c:v>97</c:v>
                </c:pt>
                <c:pt idx="16">
                  <c:v>91</c:v>
                </c:pt>
                <c:pt idx="17">
                  <c:v>96.833333333333329</c:v>
                </c:pt>
                <c:pt idx="18">
                  <c:v>84.583333333333329</c:v>
                </c:pt>
                <c:pt idx="19">
                  <c:v>112.08333333333333</c:v>
                </c:pt>
                <c:pt idx="20">
                  <c:v>90.916666666666671</c:v>
                </c:pt>
                <c:pt idx="21">
                  <c:v>96.5</c:v>
                </c:pt>
                <c:pt idx="22">
                  <c:v>82.833333333333329</c:v>
                </c:pt>
                <c:pt idx="23">
                  <c:v>80.583333333333329</c:v>
                </c:pt>
                <c:pt idx="24">
                  <c:v>75.75</c:v>
                </c:pt>
                <c:pt idx="25">
                  <c:v>89.416666666666671</c:v>
                </c:pt>
                <c:pt idx="26">
                  <c:v>97.5</c:v>
                </c:pt>
                <c:pt idx="27">
                  <c:v>56.25</c:v>
                </c:pt>
                <c:pt idx="28">
                  <c:v>89.5</c:v>
                </c:pt>
                <c:pt idx="29">
                  <c:v>87.45</c:v>
                </c:pt>
                <c:pt idx="30">
                  <c:v>111.83333333333333</c:v>
                </c:pt>
                <c:pt idx="31">
                  <c:v>55.5</c:v>
                </c:pt>
                <c:pt idx="32">
                  <c:v>80.083333333333329</c:v>
                </c:pt>
                <c:pt idx="33">
                  <c:v>84.75</c:v>
                </c:pt>
                <c:pt idx="34">
                  <c:v>95.083333333333329</c:v>
                </c:pt>
                <c:pt idx="35">
                  <c:v>61.166666666666664</c:v>
                </c:pt>
                <c:pt idx="36">
                  <c:v>88.416666666666671</c:v>
                </c:pt>
                <c:pt idx="37">
                  <c:v>63.333333333333336</c:v>
                </c:pt>
                <c:pt idx="38">
                  <c:v>64.454545454545453</c:v>
                </c:pt>
                <c:pt idx="39">
                  <c:v>70.818181818181813</c:v>
                </c:pt>
                <c:pt idx="40">
                  <c:v>61.454545454545453</c:v>
                </c:pt>
                <c:pt idx="41">
                  <c:v>48.75</c:v>
                </c:pt>
                <c:pt idx="42">
                  <c:v>117.66666666666667</c:v>
                </c:pt>
                <c:pt idx="43">
                  <c:v>96.166666666666671</c:v>
                </c:pt>
                <c:pt idx="44">
                  <c:v>104.41666666666667</c:v>
                </c:pt>
                <c:pt idx="45">
                  <c:v>115.83333333333333</c:v>
                </c:pt>
                <c:pt idx="46">
                  <c:v>100.16666666666667</c:v>
                </c:pt>
                <c:pt idx="47">
                  <c:v>61.666666666666664</c:v>
                </c:pt>
                <c:pt idx="48">
                  <c:v>89.583333333333329</c:v>
                </c:pt>
                <c:pt idx="49">
                  <c:v>117.75</c:v>
                </c:pt>
                <c:pt idx="50">
                  <c:v>96.25</c:v>
                </c:pt>
                <c:pt idx="51">
                  <c:v>97</c:v>
                </c:pt>
                <c:pt idx="52">
                  <c:v>86.083333333333329</c:v>
                </c:pt>
                <c:pt idx="53">
                  <c:v>73.833333333333329</c:v>
                </c:pt>
                <c:pt idx="54">
                  <c:v>118.5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DE3-4478-9507-16CD2C5148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5146119"/>
        <c:axId val="405152263"/>
      </c:scatterChart>
      <c:valAx>
        <c:axId val="405146119"/>
        <c:scaling>
          <c:orientation val="minMax"/>
          <c:max val="2025"/>
          <c:min val="197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05152263"/>
        <c:crosses val="autoZero"/>
        <c:crossBetween val="midCat"/>
        <c:majorUnit val="1"/>
      </c:valAx>
      <c:valAx>
        <c:axId val="405152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000" b="0" i="0" u="none" strike="noStrike" baseline="0">
                    <a:effectLst/>
                  </a:rPr>
                  <a:t>запас воды в снеге, см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051461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118552709646927"/>
          <c:y val="4.5128205128205132E-2"/>
          <c:w val="0.86071741032370952"/>
          <c:h val="0.80226351706036725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3.8467432950191574E-2"/>
                  <c:y val="0.3552633151625277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'Актюбинская '!$A$2:$A$56</c:f>
              <c:numCache>
                <c:formatCode>General</c:formatCode>
                <c:ptCount val="55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  <c:pt idx="45">
                  <c:v>2016</c:v>
                </c:pt>
                <c:pt idx="46">
                  <c:v>2017</c:v>
                </c:pt>
                <c:pt idx="47">
                  <c:v>2018</c:v>
                </c:pt>
                <c:pt idx="48">
                  <c:v>2019</c:v>
                </c:pt>
                <c:pt idx="49">
                  <c:v>2020</c:v>
                </c:pt>
                <c:pt idx="50">
                  <c:v>2021</c:v>
                </c:pt>
                <c:pt idx="51">
                  <c:v>2022</c:v>
                </c:pt>
                <c:pt idx="52">
                  <c:v>2023</c:v>
                </c:pt>
                <c:pt idx="53">
                  <c:v>2024</c:v>
                </c:pt>
                <c:pt idx="54">
                  <c:v>2025</c:v>
                </c:pt>
              </c:numCache>
            </c:numRef>
          </c:xVal>
          <c:yVal>
            <c:numRef>
              <c:f>'Актюбинская '!$S$2:$S$56</c:f>
              <c:numCache>
                <c:formatCode>0</c:formatCode>
                <c:ptCount val="55"/>
                <c:pt idx="0">
                  <c:v>51.058823529411768</c:v>
                </c:pt>
                <c:pt idx="1">
                  <c:v>56.352941176470587</c:v>
                </c:pt>
                <c:pt idx="2">
                  <c:v>58.294117647058826</c:v>
                </c:pt>
                <c:pt idx="3">
                  <c:v>31.176470588235293</c:v>
                </c:pt>
                <c:pt idx="4">
                  <c:v>47.823529411764703</c:v>
                </c:pt>
                <c:pt idx="5">
                  <c:v>70.941176470588232</c:v>
                </c:pt>
                <c:pt idx="6">
                  <c:v>47.176470588235297</c:v>
                </c:pt>
                <c:pt idx="7">
                  <c:v>52.177647058823531</c:v>
                </c:pt>
                <c:pt idx="8">
                  <c:v>75.512352941176459</c:v>
                </c:pt>
                <c:pt idx="9">
                  <c:v>64.37</c:v>
                </c:pt>
                <c:pt idx="10">
                  <c:v>40.572941176470586</c:v>
                </c:pt>
                <c:pt idx="11">
                  <c:v>73.537058823529421</c:v>
                </c:pt>
                <c:pt idx="12">
                  <c:v>92.25705882352942</c:v>
                </c:pt>
                <c:pt idx="13">
                  <c:v>49.924117647058821</c:v>
                </c:pt>
                <c:pt idx="14">
                  <c:v>52.948235294117637</c:v>
                </c:pt>
                <c:pt idx="15">
                  <c:v>81.647058823529406</c:v>
                </c:pt>
                <c:pt idx="16">
                  <c:v>83.352941176470594</c:v>
                </c:pt>
                <c:pt idx="17">
                  <c:v>60.823529411764703</c:v>
                </c:pt>
                <c:pt idx="18">
                  <c:v>125.47058823529412</c:v>
                </c:pt>
                <c:pt idx="19">
                  <c:v>77.17647058823529</c:v>
                </c:pt>
                <c:pt idx="20">
                  <c:v>52.058823529411768</c:v>
                </c:pt>
                <c:pt idx="21">
                  <c:v>99.117647058823536</c:v>
                </c:pt>
                <c:pt idx="22">
                  <c:v>97.294117647058826</c:v>
                </c:pt>
                <c:pt idx="23">
                  <c:v>91.470588235294116</c:v>
                </c:pt>
                <c:pt idx="24">
                  <c:v>78</c:v>
                </c:pt>
                <c:pt idx="25">
                  <c:v>56.764705882352942</c:v>
                </c:pt>
                <c:pt idx="26">
                  <c:v>115.11764705882354</c:v>
                </c:pt>
                <c:pt idx="27">
                  <c:v>94.882352941176464</c:v>
                </c:pt>
                <c:pt idx="28">
                  <c:v>67.941176470588232</c:v>
                </c:pt>
                <c:pt idx="29">
                  <c:v>71.058823529411768</c:v>
                </c:pt>
                <c:pt idx="30">
                  <c:v>98.882352941176464</c:v>
                </c:pt>
                <c:pt idx="31">
                  <c:v>75.529411764705884</c:v>
                </c:pt>
                <c:pt idx="32">
                  <c:v>59.058823529411768</c:v>
                </c:pt>
                <c:pt idx="33">
                  <c:v>54.941176470588232</c:v>
                </c:pt>
                <c:pt idx="34">
                  <c:v>81.529411764705884</c:v>
                </c:pt>
                <c:pt idx="35">
                  <c:v>48.647058823529413</c:v>
                </c:pt>
                <c:pt idx="36">
                  <c:v>77.647058823529406</c:v>
                </c:pt>
                <c:pt idx="37">
                  <c:v>67.17647058823529</c:v>
                </c:pt>
                <c:pt idx="38">
                  <c:v>51.588235294117645</c:v>
                </c:pt>
                <c:pt idx="39">
                  <c:v>46.647058823529413</c:v>
                </c:pt>
                <c:pt idx="40">
                  <c:v>49.823529411764703</c:v>
                </c:pt>
                <c:pt idx="41">
                  <c:v>67.235294117647058</c:v>
                </c:pt>
                <c:pt idx="42">
                  <c:v>49.529411764705884</c:v>
                </c:pt>
                <c:pt idx="43">
                  <c:v>99.470588235294116</c:v>
                </c:pt>
                <c:pt idx="44">
                  <c:v>83.82352941176471</c:v>
                </c:pt>
                <c:pt idx="45">
                  <c:v>100.35294117647059</c:v>
                </c:pt>
                <c:pt idx="46">
                  <c:v>88.529411764705884</c:v>
                </c:pt>
                <c:pt idx="47">
                  <c:v>48.882352941176471</c:v>
                </c:pt>
                <c:pt idx="48">
                  <c:v>59.764705882352942</c:v>
                </c:pt>
                <c:pt idx="49">
                  <c:v>68.17647058823529</c:v>
                </c:pt>
                <c:pt idx="50">
                  <c:v>74.705882352941174</c:v>
                </c:pt>
                <c:pt idx="51">
                  <c:v>100.82352941176471</c:v>
                </c:pt>
                <c:pt idx="52">
                  <c:v>72.764705882352942</c:v>
                </c:pt>
                <c:pt idx="53">
                  <c:v>62.058823529411768</c:v>
                </c:pt>
                <c:pt idx="54">
                  <c:v>89.941176470588232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A18-48DE-8DA9-49696891B7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5197831"/>
        <c:axId val="405199879"/>
      </c:scatterChart>
      <c:valAx>
        <c:axId val="405197831"/>
        <c:scaling>
          <c:orientation val="minMax"/>
          <c:max val="2025"/>
          <c:min val="197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05199879"/>
        <c:crosses val="autoZero"/>
        <c:crossBetween val="midCat"/>
        <c:majorUnit val="1"/>
      </c:valAx>
      <c:valAx>
        <c:axId val="405199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000" b="0" i="0" u="none" strike="noStrike" baseline="0">
                    <a:effectLst/>
                  </a:rPr>
                  <a:t>запас воды в снеге, см</a:t>
                </a:r>
                <a:endParaRPr lang="ru-RU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051978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484743149908565"/>
          <c:y val="0.1485085085085085"/>
          <c:w val="0.86700157681825285"/>
          <c:h val="0.68252945859245073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2.126679462571977E-2"/>
                  <c:y val="0.3465966754155730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Алматинская!$A$2:$A$56</c:f>
              <c:numCache>
                <c:formatCode>General</c:formatCode>
                <c:ptCount val="55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  <c:pt idx="45">
                  <c:v>2016</c:v>
                </c:pt>
                <c:pt idx="46">
                  <c:v>2017</c:v>
                </c:pt>
                <c:pt idx="47">
                  <c:v>2018</c:v>
                </c:pt>
                <c:pt idx="48">
                  <c:v>2019</c:v>
                </c:pt>
                <c:pt idx="49">
                  <c:v>2020</c:v>
                </c:pt>
                <c:pt idx="50">
                  <c:v>2021</c:v>
                </c:pt>
                <c:pt idx="51">
                  <c:v>2022</c:v>
                </c:pt>
                <c:pt idx="52">
                  <c:v>2023</c:v>
                </c:pt>
                <c:pt idx="53">
                  <c:v>2024</c:v>
                </c:pt>
                <c:pt idx="54">
                  <c:v>2025</c:v>
                </c:pt>
              </c:numCache>
            </c:numRef>
          </c:xVal>
          <c:yVal>
            <c:numRef>
              <c:f>Алматинская!$U$2:$U$56</c:f>
              <c:numCache>
                <c:formatCode>0</c:formatCode>
                <c:ptCount val="55"/>
                <c:pt idx="0">
                  <c:v>60.846153846153847</c:v>
                </c:pt>
                <c:pt idx="1">
                  <c:v>46.785714285714285</c:v>
                </c:pt>
                <c:pt idx="2">
                  <c:v>61.785714285714285</c:v>
                </c:pt>
                <c:pt idx="3">
                  <c:v>29.642857142857142</c:v>
                </c:pt>
                <c:pt idx="4">
                  <c:v>52.46153846153846</c:v>
                </c:pt>
                <c:pt idx="5">
                  <c:v>44.07692307692308</c:v>
                </c:pt>
                <c:pt idx="6">
                  <c:v>69.785714285714292</c:v>
                </c:pt>
                <c:pt idx="7">
                  <c:v>44.110769230769229</c:v>
                </c:pt>
                <c:pt idx="8">
                  <c:v>53.207142857142856</c:v>
                </c:pt>
                <c:pt idx="9">
                  <c:v>38.841666666666661</c:v>
                </c:pt>
                <c:pt idx="10">
                  <c:v>39.150000000000006</c:v>
                </c:pt>
                <c:pt idx="11">
                  <c:v>37.858333333333327</c:v>
                </c:pt>
                <c:pt idx="12">
                  <c:v>37.049999999999997</c:v>
                </c:pt>
                <c:pt idx="13">
                  <c:v>37.963636363636368</c:v>
                </c:pt>
                <c:pt idx="14">
                  <c:v>61.049230769230775</c:v>
                </c:pt>
                <c:pt idx="15">
                  <c:v>38.307692307692314</c:v>
                </c:pt>
                <c:pt idx="16">
                  <c:v>62.25</c:v>
                </c:pt>
                <c:pt idx="17">
                  <c:v>79.785714285714292</c:v>
                </c:pt>
                <c:pt idx="18">
                  <c:v>49.142857142857146</c:v>
                </c:pt>
                <c:pt idx="19">
                  <c:v>50.071428571428569</c:v>
                </c:pt>
                <c:pt idx="20">
                  <c:v>55.214285714285715</c:v>
                </c:pt>
                <c:pt idx="21">
                  <c:v>30.5</c:v>
                </c:pt>
                <c:pt idx="22">
                  <c:v>51.333333333333336</c:v>
                </c:pt>
                <c:pt idx="23">
                  <c:v>72.428571428571431</c:v>
                </c:pt>
                <c:pt idx="24">
                  <c:v>44.142857142857146</c:v>
                </c:pt>
                <c:pt idx="25">
                  <c:v>47.214285714285715</c:v>
                </c:pt>
                <c:pt idx="26">
                  <c:v>46.692307692307693</c:v>
                </c:pt>
                <c:pt idx="27">
                  <c:v>62.785714285714285</c:v>
                </c:pt>
                <c:pt idx="28">
                  <c:v>70.142857142857139</c:v>
                </c:pt>
                <c:pt idx="29">
                  <c:v>43.92307692307692</c:v>
                </c:pt>
                <c:pt idx="30">
                  <c:v>36.714285714285715</c:v>
                </c:pt>
                <c:pt idx="31">
                  <c:v>66</c:v>
                </c:pt>
                <c:pt idx="32">
                  <c:v>61.357142857142854</c:v>
                </c:pt>
                <c:pt idx="33">
                  <c:v>54.142857142857146</c:v>
                </c:pt>
                <c:pt idx="34">
                  <c:v>63.692307692307693</c:v>
                </c:pt>
                <c:pt idx="35">
                  <c:v>43.357142857142854</c:v>
                </c:pt>
                <c:pt idx="36">
                  <c:v>30.785714285714285</c:v>
                </c:pt>
                <c:pt idx="37">
                  <c:v>37.230769230769234</c:v>
                </c:pt>
                <c:pt idx="38">
                  <c:v>51.928571428571431</c:v>
                </c:pt>
                <c:pt idx="39">
                  <c:v>80.428571428571431</c:v>
                </c:pt>
                <c:pt idx="40">
                  <c:v>44.857142857142854</c:v>
                </c:pt>
                <c:pt idx="41">
                  <c:v>58.357142857142854</c:v>
                </c:pt>
                <c:pt idx="42">
                  <c:v>77.384615384615387</c:v>
                </c:pt>
                <c:pt idx="43">
                  <c:v>64.285714285714292</c:v>
                </c:pt>
                <c:pt idx="44">
                  <c:v>46.285714285714285</c:v>
                </c:pt>
                <c:pt idx="45">
                  <c:v>46.285714285714285</c:v>
                </c:pt>
                <c:pt idx="46">
                  <c:v>85.214285714285708</c:v>
                </c:pt>
                <c:pt idx="47">
                  <c:v>51</c:v>
                </c:pt>
                <c:pt idx="48">
                  <c:v>55.769230769230766</c:v>
                </c:pt>
                <c:pt idx="49">
                  <c:v>45.642857142857146</c:v>
                </c:pt>
                <c:pt idx="50">
                  <c:v>30.46153846153846</c:v>
                </c:pt>
                <c:pt idx="51">
                  <c:v>50.428571428571431</c:v>
                </c:pt>
                <c:pt idx="52">
                  <c:v>55.785714285714285</c:v>
                </c:pt>
                <c:pt idx="53">
                  <c:v>65.307692307692307</c:v>
                </c:pt>
                <c:pt idx="54">
                  <c:v>49.636363636363633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0E-4EE4-9A0D-A4E142680F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34568"/>
        <c:axId val="18448904"/>
      </c:scatterChart>
      <c:valAx>
        <c:axId val="18434568"/>
        <c:scaling>
          <c:orientation val="minMax"/>
          <c:max val="2025"/>
          <c:min val="197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448904"/>
        <c:crosses val="autoZero"/>
        <c:crossBetween val="midCat"/>
        <c:majorUnit val="1"/>
      </c:valAx>
      <c:valAx>
        <c:axId val="18448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000" b="0" i="0" u="none" strike="noStrike" baseline="0">
                    <a:effectLst/>
                  </a:rPr>
                  <a:t>запас воды в снеге, см</a:t>
                </a:r>
                <a:endParaRPr lang="ru-RU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434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6577779078730414E-2"/>
          <c:y val="4.3650793650793648E-2"/>
          <c:w val="0.87616075871556964"/>
          <c:h val="0.79683227096612919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4374225526641883E-3"/>
                  <c:y val="-0.4115976127984001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Атырауская!$A$2:$A$56</c:f>
              <c:numCache>
                <c:formatCode>General</c:formatCode>
                <c:ptCount val="55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  <c:pt idx="45">
                  <c:v>2016</c:v>
                </c:pt>
                <c:pt idx="46">
                  <c:v>2017</c:v>
                </c:pt>
                <c:pt idx="47">
                  <c:v>2018</c:v>
                </c:pt>
                <c:pt idx="48">
                  <c:v>2019</c:v>
                </c:pt>
                <c:pt idx="49">
                  <c:v>2020</c:v>
                </c:pt>
                <c:pt idx="50">
                  <c:v>2021</c:v>
                </c:pt>
                <c:pt idx="51">
                  <c:v>2022</c:v>
                </c:pt>
                <c:pt idx="52">
                  <c:v>2023</c:v>
                </c:pt>
                <c:pt idx="53">
                  <c:v>2024</c:v>
                </c:pt>
                <c:pt idx="54">
                  <c:v>2025</c:v>
                </c:pt>
              </c:numCache>
            </c:numRef>
          </c:xVal>
          <c:yVal>
            <c:numRef>
              <c:f>Атырауская!$K$2:$K$56</c:f>
              <c:numCache>
                <c:formatCode>0</c:formatCode>
                <c:ptCount val="55"/>
                <c:pt idx="7">
                  <c:v>26.333333333333332</c:v>
                </c:pt>
                <c:pt idx="8">
                  <c:v>10.833333333333334</c:v>
                </c:pt>
                <c:pt idx="9">
                  <c:v>22.285714285714285</c:v>
                </c:pt>
                <c:pt idx="10">
                  <c:v>6.125</c:v>
                </c:pt>
                <c:pt idx="11">
                  <c:v>22.375</c:v>
                </c:pt>
                <c:pt idx="12">
                  <c:v>22.125</c:v>
                </c:pt>
                <c:pt idx="13">
                  <c:v>2.75</c:v>
                </c:pt>
                <c:pt idx="14">
                  <c:v>53.375</c:v>
                </c:pt>
                <c:pt idx="15">
                  <c:v>40.875</c:v>
                </c:pt>
                <c:pt idx="16">
                  <c:v>33.75</c:v>
                </c:pt>
                <c:pt idx="17">
                  <c:v>24</c:v>
                </c:pt>
                <c:pt idx="18">
                  <c:v>30.375</c:v>
                </c:pt>
                <c:pt idx="19">
                  <c:v>36.25</c:v>
                </c:pt>
                <c:pt idx="20">
                  <c:v>28.5</c:v>
                </c:pt>
                <c:pt idx="21">
                  <c:v>28.25</c:v>
                </c:pt>
                <c:pt idx="22">
                  <c:v>36.125</c:v>
                </c:pt>
                <c:pt idx="23">
                  <c:v>57.222222222222221</c:v>
                </c:pt>
                <c:pt idx="24">
                  <c:v>23.666666666666668</c:v>
                </c:pt>
                <c:pt idx="25">
                  <c:v>9.2222222222222214</c:v>
                </c:pt>
                <c:pt idx="26">
                  <c:v>59.111111111111114</c:v>
                </c:pt>
                <c:pt idx="27">
                  <c:v>39.666666666666664</c:v>
                </c:pt>
                <c:pt idx="28">
                  <c:v>4.8888888888888893</c:v>
                </c:pt>
                <c:pt idx="29">
                  <c:v>7</c:v>
                </c:pt>
                <c:pt idx="30">
                  <c:v>17.888888888888889</c:v>
                </c:pt>
                <c:pt idx="31">
                  <c:v>22.555555555555557</c:v>
                </c:pt>
                <c:pt idx="32">
                  <c:v>22.777777777777779</c:v>
                </c:pt>
                <c:pt idx="33">
                  <c:v>17.222222222222221</c:v>
                </c:pt>
                <c:pt idx="34">
                  <c:v>19.666666666666668</c:v>
                </c:pt>
                <c:pt idx="35">
                  <c:v>63.666666666666664</c:v>
                </c:pt>
                <c:pt idx="36">
                  <c:v>12.666666666666666</c:v>
                </c:pt>
                <c:pt idx="37">
                  <c:v>43.777777777777779</c:v>
                </c:pt>
                <c:pt idx="38">
                  <c:v>29</c:v>
                </c:pt>
                <c:pt idx="39">
                  <c:v>10.666666666666666</c:v>
                </c:pt>
                <c:pt idx="40">
                  <c:v>23</c:v>
                </c:pt>
                <c:pt idx="41">
                  <c:v>41.444444444444443</c:v>
                </c:pt>
                <c:pt idx="42">
                  <c:v>20.777777777777779</c:v>
                </c:pt>
                <c:pt idx="43">
                  <c:v>18</c:v>
                </c:pt>
                <c:pt idx="44">
                  <c:v>21.111111111111111</c:v>
                </c:pt>
                <c:pt idx="45">
                  <c:v>47.666666666666664</c:v>
                </c:pt>
                <c:pt idx="46">
                  <c:v>42</c:v>
                </c:pt>
                <c:pt idx="47">
                  <c:v>19.444444444444443</c:v>
                </c:pt>
                <c:pt idx="48">
                  <c:v>21.777777777777779</c:v>
                </c:pt>
                <c:pt idx="49">
                  <c:v>6</c:v>
                </c:pt>
                <c:pt idx="50">
                  <c:v>25.333333333333332</c:v>
                </c:pt>
                <c:pt idx="51">
                  <c:v>22.444444444444443</c:v>
                </c:pt>
                <c:pt idx="52">
                  <c:v>36</c:v>
                </c:pt>
                <c:pt idx="53">
                  <c:v>13.222222222222221</c:v>
                </c:pt>
                <c:pt idx="54">
                  <c:v>24.666666666666668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37B-4821-8733-26A52F38AE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4194568"/>
        <c:axId val="1064196616"/>
      </c:scatterChart>
      <c:valAx>
        <c:axId val="1064194568"/>
        <c:scaling>
          <c:orientation val="minMax"/>
          <c:max val="2025"/>
          <c:min val="197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64196616"/>
        <c:crosses val="autoZero"/>
        <c:crossBetween val="midCat"/>
        <c:majorUnit val="1"/>
      </c:valAx>
      <c:valAx>
        <c:axId val="1064196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000" b="0" i="0" u="none" strike="noStrike" baseline="0">
                    <a:effectLst/>
                  </a:rPr>
                  <a:t>запас воды в снеге, см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64194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522709754217526"/>
          <c:y val="4.4579533941236066E-2"/>
          <c:w val="0.84751144025212466"/>
          <c:h val="0.8289837174608492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2.6319702602230485E-2"/>
                  <c:y val="0.3662612386217680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ВКО!$A$2:$A$56</c:f>
              <c:numCache>
                <c:formatCode>General</c:formatCode>
                <c:ptCount val="55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  <c:pt idx="45">
                  <c:v>2016</c:v>
                </c:pt>
                <c:pt idx="46">
                  <c:v>2017</c:v>
                </c:pt>
                <c:pt idx="47">
                  <c:v>2018</c:v>
                </c:pt>
                <c:pt idx="48">
                  <c:v>2019</c:v>
                </c:pt>
                <c:pt idx="49">
                  <c:v>2020</c:v>
                </c:pt>
                <c:pt idx="50">
                  <c:v>2021</c:v>
                </c:pt>
                <c:pt idx="51">
                  <c:v>2022</c:v>
                </c:pt>
                <c:pt idx="52">
                  <c:v>2023</c:v>
                </c:pt>
                <c:pt idx="53">
                  <c:v>2024</c:v>
                </c:pt>
                <c:pt idx="54">
                  <c:v>2025</c:v>
                </c:pt>
              </c:numCache>
            </c:numRef>
          </c:xVal>
          <c:yVal>
            <c:numRef>
              <c:f>ВКО!$M$2:$M$56</c:f>
              <c:numCache>
                <c:formatCode>0</c:formatCode>
                <c:ptCount val="55"/>
                <c:pt idx="0">
                  <c:v>72.545454545454547</c:v>
                </c:pt>
                <c:pt idx="1">
                  <c:v>55.545454545454547</c:v>
                </c:pt>
                <c:pt idx="2">
                  <c:v>60.727272727272727</c:v>
                </c:pt>
                <c:pt idx="3">
                  <c:v>51.18181818181818</c:v>
                </c:pt>
                <c:pt idx="4">
                  <c:v>59.18181818181818</c:v>
                </c:pt>
                <c:pt idx="5">
                  <c:v>74.727272727272734</c:v>
                </c:pt>
                <c:pt idx="6">
                  <c:v>84.545454545454547</c:v>
                </c:pt>
                <c:pt idx="7">
                  <c:v>66.164545454545447</c:v>
                </c:pt>
                <c:pt idx="8">
                  <c:v>95.431818181818187</c:v>
                </c:pt>
                <c:pt idx="9">
                  <c:v>56.81909090909091</c:v>
                </c:pt>
                <c:pt idx="10">
                  <c:v>60.621818181818178</c:v>
                </c:pt>
                <c:pt idx="11">
                  <c:v>50.209090909090904</c:v>
                </c:pt>
                <c:pt idx="12">
                  <c:v>93.1</c:v>
                </c:pt>
                <c:pt idx="13">
                  <c:v>69.636363636363626</c:v>
                </c:pt>
                <c:pt idx="14">
                  <c:v>107.89090909090909</c:v>
                </c:pt>
                <c:pt idx="15">
                  <c:v>105.27272727272727</c:v>
                </c:pt>
                <c:pt idx="16">
                  <c:v>103.09090909090909</c:v>
                </c:pt>
                <c:pt idx="17">
                  <c:v>137.45454545454547</c:v>
                </c:pt>
                <c:pt idx="18">
                  <c:v>85.090909090909093</c:v>
                </c:pt>
                <c:pt idx="19">
                  <c:v>107.72727272727273</c:v>
                </c:pt>
                <c:pt idx="20">
                  <c:v>113.63636363636364</c:v>
                </c:pt>
                <c:pt idx="21">
                  <c:v>117.63636363636364</c:v>
                </c:pt>
                <c:pt idx="22">
                  <c:v>115</c:v>
                </c:pt>
                <c:pt idx="23">
                  <c:v>115.27272727272727</c:v>
                </c:pt>
                <c:pt idx="24">
                  <c:v>68.818181818181813</c:v>
                </c:pt>
                <c:pt idx="25">
                  <c:v>84.36363636363636</c:v>
                </c:pt>
                <c:pt idx="26">
                  <c:v>151.45454545454547</c:v>
                </c:pt>
                <c:pt idx="27">
                  <c:v>156.18181818181819</c:v>
                </c:pt>
                <c:pt idx="28">
                  <c:v>110.81818181818181</c:v>
                </c:pt>
                <c:pt idx="29">
                  <c:v>91.36363636363636</c:v>
                </c:pt>
                <c:pt idx="30">
                  <c:v>191.09090909090909</c:v>
                </c:pt>
                <c:pt idx="31">
                  <c:v>75.727272727272734</c:v>
                </c:pt>
                <c:pt idx="32">
                  <c:v>110.18181818181819</c:v>
                </c:pt>
                <c:pt idx="33">
                  <c:v>109.54545454545455</c:v>
                </c:pt>
                <c:pt idx="34">
                  <c:v>90.090909090909093</c:v>
                </c:pt>
                <c:pt idx="35">
                  <c:v>136.81818181818181</c:v>
                </c:pt>
                <c:pt idx="36">
                  <c:v>79.272727272727266</c:v>
                </c:pt>
                <c:pt idx="37">
                  <c:v>65.909090909090907</c:v>
                </c:pt>
                <c:pt idx="38">
                  <c:v>114.72727272727273</c:v>
                </c:pt>
                <c:pt idx="39">
                  <c:v>220</c:v>
                </c:pt>
                <c:pt idx="40">
                  <c:v>136.45454545454547</c:v>
                </c:pt>
                <c:pt idx="41">
                  <c:v>94.36363636363636</c:v>
                </c:pt>
                <c:pt idx="42">
                  <c:v>175.90909090909091</c:v>
                </c:pt>
                <c:pt idx="43">
                  <c:v>94.63636363636364</c:v>
                </c:pt>
                <c:pt idx="44">
                  <c:v>129.36363636363637</c:v>
                </c:pt>
                <c:pt idx="45">
                  <c:v>138</c:v>
                </c:pt>
                <c:pt idx="46">
                  <c:v>167.54545454545453</c:v>
                </c:pt>
                <c:pt idx="47">
                  <c:v>75.63636363636364</c:v>
                </c:pt>
                <c:pt idx="48">
                  <c:v>92.181818181818187</c:v>
                </c:pt>
                <c:pt idx="49">
                  <c:v>140.72727272727272</c:v>
                </c:pt>
                <c:pt idx="50">
                  <c:v>129.72727272727272</c:v>
                </c:pt>
                <c:pt idx="51">
                  <c:v>120.90909090909091</c:v>
                </c:pt>
                <c:pt idx="52">
                  <c:v>151.54545454545453</c:v>
                </c:pt>
                <c:pt idx="53">
                  <c:v>160.90909090909091</c:v>
                </c:pt>
                <c:pt idx="54">
                  <c:v>142.09090909090909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989-4532-9436-2692E4A89F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4229896"/>
        <c:axId val="18473992"/>
      </c:scatterChart>
      <c:valAx>
        <c:axId val="1064229896"/>
        <c:scaling>
          <c:orientation val="minMax"/>
          <c:max val="2025"/>
          <c:min val="197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473992"/>
        <c:crosses val="autoZero"/>
        <c:crossBetween val="midCat"/>
        <c:majorUnit val="1"/>
      </c:valAx>
      <c:valAx>
        <c:axId val="18473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000" b="0" i="0" u="none" strike="noStrike" baseline="0">
                    <a:effectLst/>
                  </a:rPr>
                  <a:t>запас воды в снеге, см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642298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093409556682128"/>
          <c:y val="3.9215686274509803E-2"/>
          <c:w val="0.8539517491820372"/>
          <c:h val="0.82460510617990934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1.004566210045662E-3"/>
                  <c:y val="0.3286302581161312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Жамбылская!$A$2:$A$56</c:f>
              <c:numCache>
                <c:formatCode>General</c:formatCode>
                <c:ptCount val="55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  <c:pt idx="45">
                  <c:v>2016</c:v>
                </c:pt>
                <c:pt idx="46">
                  <c:v>2017</c:v>
                </c:pt>
                <c:pt idx="47">
                  <c:v>2018</c:v>
                </c:pt>
                <c:pt idx="48">
                  <c:v>2019</c:v>
                </c:pt>
                <c:pt idx="49">
                  <c:v>2020</c:v>
                </c:pt>
                <c:pt idx="50">
                  <c:v>2021</c:v>
                </c:pt>
                <c:pt idx="51">
                  <c:v>2022</c:v>
                </c:pt>
                <c:pt idx="52">
                  <c:v>2023</c:v>
                </c:pt>
                <c:pt idx="53">
                  <c:v>2024</c:v>
                </c:pt>
                <c:pt idx="54">
                  <c:v>2025</c:v>
                </c:pt>
              </c:numCache>
            </c:numRef>
          </c:xVal>
          <c:yVal>
            <c:numRef>
              <c:f>Жамбылская!$Q$2:$Q$56</c:f>
              <c:numCache>
                <c:formatCode>0</c:formatCode>
                <c:ptCount val="55"/>
                <c:pt idx="0">
                  <c:v>23.066666666666666</c:v>
                </c:pt>
                <c:pt idx="1">
                  <c:v>34.266666666666666</c:v>
                </c:pt>
                <c:pt idx="2">
                  <c:v>21.933333333333334</c:v>
                </c:pt>
                <c:pt idx="3">
                  <c:v>19.333333333333332</c:v>
                </c:pt>
                <c:pt idx="4">
                  <c:v>22.333333333333332</c:v>
                </c:pt>
                <c:pt idx="5">
                  <c:v>26.333333333333332</c:v>
                </c:pt>
                <c:pt idx="6">
                  <c:v>28.533333333333335</c:v>
                </c:pt>
                <c:pt idx="7">
                  <c:v>27.886000000000006</c:v>
                </c:pt>
                <c:pt idx="8">
                  <c:v>28.448666666666668</c:v>
                </c:pt>
                <c:pt idx="9">
                  <c:v>22.386666666666663</c:v>
                </c:pt>
                <c:pt idx="10">
                  <c:v>9.74</c:v>
                </c:pt>
                <c:pt idx="11">
                  <c:v>16.862000000000002</c:v>
                </c:pt>
                <c:pt idx="12">
                  <c:v>25.013333333333335</c:v>
                </c:pt>
                <c:pt idx="13">
                  <c:v>23.715333333333334</c:v>
                </c:pt>
                <c:pt idx="14">
                  <c:v>37.574666666666666</c:v>
                </c:pt>
                <c:pt idx="15">
                  <c:v>18.566666666666663</c:v>
                </c:pt>
                <c:pt idx="16">
                  <c:v>17.533333333333335</c:v>
                </c:pt>
                <c:pt idx="17">
                  <c:v>61.333333333333336</c:v>
                </c:pt>
                <c:pt idx="18">
                  <c:v>33.799999999999997</c:v>
                </c:pt>
                <c:pt idx="19">
                  <c:v>32.866666666666667</c:v>
                </c:pt>
                <c:pt idx="20">
                  <c:v>42.6</c:v>
                </c:pt>
                <c:pt idx="21">
                  <c:v>24.8</c:v>
                </c:pt>
                <c:pt idx="22">
                  <c:v>21.8</c:v>
                </c:pt>
                <c:pt idx="23">
                  <c:v>58.733333333333334</c:v>
                </c:pt>
                <c:pt idx="24">
                  <c:v>23.066666666666666</c:v>
                </c:pt>
                <c:pt idx="25">
                  <c:v>28.266666666666666</c:v>
                </c:pt>
                <c:pt idx="26">
                  <c:v>25.4</c:v>
                </c:pt>
                <c:pt idx="27">
                  <c:v>39.266666666666666</c:v>
                </c:pt>
                <c:pt idx="28">
                  <c:v>26</c:v>
                </c:pt>
                <c:pt idx="29">
                  <c:v>13.857142857142858</c:v>
                </c:pt>
                <c:pt idx="30">
                  <c:v>19.857142857142858</c:v>
                </c:pt>
                <c:pt idx="31">
                  <c:v>19.142857142857142</c:v>
                </c:pt>
                <c:pt idx="32">
                  <c:v>38.5</c:v>
                </c:pt>
                <c:pt idx="33">
                  <c:v>11.5</c:v>
                </c:pt>
                <c:pt idx="34">
                  <c:v>51</c:v>
                </c:pt>
                <c:pt idx="35">
                  <c:v>49.133333333333333</c:v>
                </c:pt>
                <c:pt idx="36">
                  <c:v>26.2</c:v>
                </c:pt>
                <c:pt idx="37">
                  <c:v>41.266666666666666</c:v>
                </c:pt>
                <c:pt idx="38">
                  <c:v>25.533333333333335</c:v>
                </c:pt>
                <c:pt idx="39">
                  <c:v>41.266666666666666</c:v>
                </c:pt>
                <c:pt idx="40">
                  <c:v>23.466666666666665</c:v>
                </c:pt>
                <c:pt idx="41">
                  <c:v>33.200000000000003</c:v>
                </c:pt>
                <c:pt idx="42">
                  <c:v>36.06666666666667</c:v>
                </c:pt>
                <c:pt idx="43">
                  <c:v>37.06666666666667</c:v>
                </c:pt>
                <c:pt idx="44">
                  <c:v>43.866666666666667</c:v>
                </c:pt>
                <c:pt idx="45">
                  <c:v>32.666666666666664</c:v>
                </c:pt>
                <c:pt idx="46">
                  <c:v>54.4</c:v>
                </c:pt>
                <c:pt idx="47">
                  <c:v>42.06666666666667</c:v>
                </c:pt>
                <c:pt idx="48">
                  <c:v>28.733333333333334</c:v>
                </c:pt>
                <c:pt idx="49">
                  <c:v>24.2</c:v>
                </c:pt>
                <c:pt idx="50">
                  <c:v>26.733333333333334</c:v>
                </c:pt>
                <c:pt idx="51">
                  <c:v>19.333333333333332</c:v>
                </c:pt>
                <c:pt idx="52">
                  <c:v>16.666666666666668</c:v>
                </c:pt>
                <c:pt idx="53">
                  <c:v>30.916666666666668</c:v>
                </c:pt>
                <c:pt idx="54">
                  <c:v>13.3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D80-4E2C-BBF4-9F7B9783CD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3139975"/>
        <c:axId val="853142023"/>
      </c:scatterChart>
      <c:valAx>
        <c:axId val="853139975"/>
        <c:scaling>
          <c:orientation val="minMax"/>
          <c:max val="2025"/>
          <c:min val="197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53142023"/>
        <c:crosses val="autoZero"/>
        <c:crossBetween val="midCat"/>
        <c:majorUnit val="1"/>
      </c:valAx>
      <c:valAx>
        <c:axId val="853142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000" b="0" i="0" u="none" strike="noStrike" baseline="0">
                    <a:effectLst/>
                  </a:rPr>
                  <a:t>запас воды в снеге, см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531399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117517568368467"/>
          <c:y val="4.1198501872659173E-2"/>
          <c:w val="0.85392386223368943"/>
          <c:h val="0.79326491491934292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4.1448783248443609E-2"/>
                  <c:y val="0.3035412427379161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Жетису!$A$2:$A$56</c:f>
              <c:numCache>
                <c:formatCode>General</c:formatCode>
                <c:ptCount val="55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  <c:pt idx="45">
                  <c:v>2016</c:v>
                </c:pt>
                <c:pt idx="46">
                  <c:v>2017</c:v>
                </c:pt>
                <c:pt idx="47">
                  <c:v>2018</c:v>
                </c:pt>
                <c:pt idx="48">
                  <c:v>2019</c:v>
                </c:pt>
                <c:pt idx="49">
                  <c:v>2020</c:v>
                </c:pt>
                <c:pt idx="50">
                  <c:v>2021</c:v>
                </c:pt>
                <c:pt idx="51">
                  <c:v>2022</c:v>
                </c:pt>
                <c:pt idx="52">
                  <c:v>2023</c:v>
                </c:pt>
                <c:pt idx="53">
                  <c:v>2024</c:v>
                </c:pt>
                <c:pt idx="54">
                  <c:v>2025</c:v>
                </c:pt>
              </c:numCache>
            </c:numRef>
          </c:xVal>
          <c:yVal>
            <c:numRef>
              <c:f>Жетису!$M$2:$M$56</c:f>
              <c:numCache>
                <c:formatCode>0</c:formatCode>
                <c:ptCount val="55"/>
                <c:pt idx="0">
                  <c:v>130</c:v>
                </c:pt>
                <c:pt idx="1">
                  <c:v>96.888888888888886</c:v>
                </c:pt>
                <c:pt idx="2">
                  <c:v>96.222222222222229</c:v>
                </c:pt>
                <c:pt idx="3">
                  <c:v>70.111111111111114</c:v>
                </c:pt>
                <c:pt idx="4">
                  <c:v>100.88888888888889</c:v>
                </c:pt>
                <c:pt idx="5">
                  <c:v>72.333333333333329</c:v>
                </c:pt>
                <c:pt idx="6">
                  <c:v>114.22222222222223</c:v>
                </c:pt>
                <c:pt idx="7">
                  <c:v>84.699999999999989</c:v>
                </c:pt>
                <c:pt idx="8">
                  <c:v>81.655555555555551</c:v>
                </c:pt>
                <c:pt idx="9">
                  <c:v>67.677777777777777</c:v>
                </c:pt>
                <c:pt idx="10">
                  <c:v>75.87777777777778</c:v>
                </c:pt>
                <c:pt idx="11">
                  <c:v>67.23333333333332</c:v>
                </c:pt>
                <c:pt idx="12">
                  <c:v>49.966666666666661</c:v>
                </c:pt>
                <c:pt idx="13">
                  <c:v>56.7</c:v>
                </c:pt>
                <c:pt idx="14">
                  <c:v>112.40000000000002</c:v>
                </c:pt>
                <c:pt idx="15">
                  <c:v>75</c:v>
                </c:pt>
                <c:pt idx="16">
                  <c:v>110.33333333333333</c:v>
                </c:pt>
                <c:pt idx="17">
                  <c:v>153.33333333333334</c:v>
                </c:pt>
                <c:pt idx="18">
                  <c:v>63.888888888888886</c:v>
                </c:pt>
                <c:pt idx="19">
                  <c:v>116.44444444444444</c:v>
                </c:pt>
                <c:pt idx="20">
                  <c:v>88.222222222222229</c:v>
                </c:pt>
                <c:pt idx="21">
                  <c:v>96.888888888888886</c:v>
                </c:pt>
                <c:pt idx="22">
                  <c:v>103.66666666666667</c:v>
                </c:pt>
                <c:pt idx="23">
                  <c:v>119.88888888888889</c:v>
                </c:pt>
                <c:pt idx="24">
                  <c:v>54.222222222222221</c:v>
                </c:pt>
                <c:pt idx="25">
                  <c:v>99</c:v>
                </c:pt>
                <c:pt idx="26">
                  <c:v>158</c:v>
                </c:pt>
                <c:pt idx="27">
                  <c:v>121.55555555555556</c:v>
                </c:pt>
                <c:pt idx="28">
                  <c:v>163.11111111111111</c:v>
                </c:pt>
                <c:pt idx="29">
                  <c:v>121.33333333333333</c:v>
                </c:pt>
                <c:pt idx="30">
                  <c:v>153.11111111111111</c:v>
                </c:pt>
                <c:pt idx="31">
                  <c:v>92.111111111111114</c:v>
                </c:pt>
                <c:pt idx="32">
                  <c:v>134.22222222222223</c:v>
                </c:pt>
                <c:pt idx="33">
                  <c:v>116.33333333333333</c:v>
                </c:pt>
                <c:pt idx="34">
                  <c:v>103.44444444444444</c:v>
                </c:pt>
                <c:pt idx="35">
                  <c:v>99.666666666666671</c:v>
                </c:pt>
                <c:pt idx="36">
                  <c:v>66.333333333333329</c:v>
                </c:pt>
                <c:pt idx="37">
                  <c:v>71.333333333333329</c:v>
                </c:pt>
                <c:pt idx="38">
                  <c:v>91.111111111111114</c:v>
                </c:pt>
                <c:pt idx="39">
                  <c:v>183.66666666666666</c:v>
                </c:pt>
                <c:pt idx="40">
                  <c:v>111.11111111111111</c:v>
                </c:pt>
                <c:pt idx="41">
                  <c:v>94.444444444444443</c:v>
                </c:pt>
                <c:pt idx="42">
                  <c:v>127.55555555555556</c:v>
                </c:pt>
                <c:pt idx="43">
                  <c:v>136.77777777777777</c:v>
                </c:pt>
                <c:pt idx="44">
                  <c:v>86.222222222222229</c:v>
                </c:pt>
                <c:pt idx="45">
                  <c:v>68.111111111111114</c:v>
                </c:pt>
                <c:pt idx="46">
                  <c:v>110.22222222222223</c:v>
                </c:pt>
                <c:pt idx="47">
                  <c:v>69.555555555555557</c:v>
                </c:pt>
                <c:pt idx="48">
                  <c:v>107.77777777777777</c:v>
                </c:pt>
                <c:pt idx="49">
                  <c:v>84.444444444444443</c:v>
                </c:pt>
                <c:pt idx="50">
                  <c:v>91.666666666666671</c:v>
                </c:pt>
                <c:pt idx="51">
                  <c:v>51.444444444444443</c:v>
                </c:pt>
                <c:pt idx="52">
                  <c:v>85.333333333333329</c:v>
                </c:pt>
                <c:pt idx="53">
                  <c:v>49.666666666666664</c:v>
                </c:pt>
                <c:pt idx="54">
                  <c:v>111.77777777777777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410-4B27-967E-9824B56BF1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8022792"/>
        <c:axId val="1828024840"/>
      </c:scatterChart>
      <c:valAx>
        <c:axId val="1828022792"/>
        <c:scaling>
          <c:orientation val="minMax"/>
          <c:max val="2025"/>
          <c:min val="197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28024840"/>
        <c:crosses val="autoZero"/>
        <c:crossBetween val="midCat"/>
        <c:majorUnit val="1"/>
      </c:valAx>
      <c:valAx>
        <c:axId val="1828024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000" b="0" i="0" u="none" strike="noStrike" baseline="0">
                    <a:effectLst/>
                  </a:rPr>
                  <a:t>запас воды в снеге, см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280227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376383986484447"/>
          <c:y val="4.0182648401826483E-2"/>
          <c:w val="0.85215296363816595"/>
          <c:h val="0.80201546039621763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2.7553452370177867E-2"/>
                  <c:y val="0.314834070398734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ЗКО!$A$2:$A$56</c:f>
              <c:numCache>
                <c:formatCode>General</c:formatCode>
                <c:ptCount val="55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  <c:pt idx="45">
                  <c:v>2016</c:v>
                </c:pt>
                <c:pt idx="46">
                  <c:v>2017</c:v>
                </c:pt>
                <c:pt idx="47">
                  <c:v>2018</c:v>
                </c:pt>
                <c:pt idx="48">
                  <c:v>2019</c:v>
                </c:pt>
                <c:pt idx="49">
                  <c:v>2020</c:v>
                </c:pt>
                <c:pt idx="50">
                  <c:v>2021</c:v>
                </c:pt>
                <c:pt idx="51">
                  <c:v>2022</c:v>
                </c:pt>
                <c:pt idx="52">
                  <c:v>2023</c:v>
                </c:pt>
                <c:pt idx="53">
                  <c:v>2024</c:v>
                </c:pt>
                <c:pt idx="54">
                  <c:v>2025</c:v>
                </c:pt>
              </c:numCache>
            </c:numRef>
          </c:xVal>
          <c:yVal>
            <c:numRef>
              <c:f>ЗКО!$O$2:$O$56</c:f>
              <c:numCache>
                <c:formatCode>0</c:formatCode>
                <c:ptCount val="55"/>
                <c:pt idx="0">
                  <c:v>75.166666666666671</c:v>
                </c:pt>
                <c:pt idx="1">
                  <c:v>50.083333333333336</c:v>
                </c:pt>
                <c:pt idx="2">
                  <c:v>52.083333333333336</c:v>
                </c:pt>
                <c:pt idx="3">
                  <c:v>50.083333333333336</c:v>
                </c:pt>
                <c:pt idx="4">
                  <c:v>39.166666666666664</c:v>
                </c:pt>
                <c:pt idx="5">
                  <c:v>88.416666666666671</c:v>
                </c:pt>
                <c:pt idx="6">
                  <c:v>41</c:v>
                </c:pt>
                <c:pt idx="7">
                  <c:v>58.620909090909088</c:v>
                </c:pt>
                <c:pt idx="8">
                  <c:v>76.349999999999994</c:v>
                </c:pt>
                <c:pt idx="9">
                  <c:v>50.709090909090904</c:v>
                </c:pt>
                <c:pt idx="10">
                  <c:v>35.847272727272731</c:v>
                </c:pt>
                <c:pt idx="11">
                  <c:v>29.643636363636368</c:v>
                </c:pt>
                <c:pt idx="12">
                  <c:v>47.060909090909085</c:v>
                </c:pt>
                <c:pt idx="13">
                  <c:v>61.854545454545466</c:v>
                </c:pt>
                <c:pt idx="14">
                  <c:v>77.352000000000004</c:v>
                </c:pt>
                <c:pt idx="15">
                  <c:v>88.416666666666671</c:v>
                </c:pt>
                <c:pt idx="16">
                  <c:v>104.33333333333333</c:v>
                </c:pt>
                <c:pt idx="17">
                  <c:v>99.75</c:v>
                </c:pt>
                <c:pt idx="18">
                  <c:v>82.916666666666671</c:v>
                </c:pt>
                <c:pt idx="19">
                  <c:v>90.416666666666671</c:v>
                </c:pt>
                <c:pt idx="20">
                  <c:v>53.916666666666664</c:v>
                </c:pt>
                <c:pt idx="21">
                  <c:v>89.166666666666671</c:v>
                </c:pt>
                <c:pt idx="22">
                  <c:v>73.416666666666671</c:v>
                </c:pt>
                <c:pt idx="23">
                  <c:v>100.41666666666667</c:v>
                </c:pt>
                <c:pt idx="24">
                  <c:v>58.333333333333336</c:v>
                </c:pt>
                <c:pt idx="25">
                  <c:v>58.916666666666664</c:v>
                </c:pt>
                <c:pt idx="26">
                  <c:v>81.333333333333329</c:v>
                </c:pt>
                <c:pt idx="27">
                  <c:v>103.83333333333333</c:v>
                </c:pt>
                <c:pt idx="28">
                  <c:v>49.916666666666664</c:v>
                </c:pt>
                <c:pt idx="29">
                  <c:v>72</c:v>
                </c:pt>
                <c:pt idx="30">
                  <c:v>44.5</c:v>
                </c:pt>
                <c:pt idx="31">
                  <c:v>74.25</c:v>
                </c:pt>
                <c:pt idx="32">
                  <c:v>53.75</c:v>
                </c:pt>
                <c:pt idx="33">
                  <c:v>60.416666666666664</c:v>
                </c:pt>
                <c:pt idx="34">
                  <c:v>50.916666666666664</c:v>
                </c:pt>
                <c:pt idx="35">
                  <c:v>70</c:v>
                </c:pt>
                <c:pt idx="36">
                  <c:v>33.833333333333336</c:v>
                </c:pt>
                <c:pt idx="37">
                  <c:v>54.083333333333336</c:v>
                </c:pt>
                <c:pt idx="38">
                  <c:v>32.583333333333336</c:v>
                </c:pt>
                <c:pt idx="39">
                  <c:v>72.583333333333329</c:v>
                </c:pt>
                <c:pt idx="40">
                  <c:v>66.833333333333329</c:v>
                </c:pt>
                <c:pt idx="41">
                  <c:v>81.25</c:v>
                </c:pt>
                <c:pt idx="42">
                  <c:v>76.5</c:v>
                </c:pt>
                <c:pt idx="43">
                  <c:v>66.833333333333329</c:v>
                </c:pt>
                <c:pt idx="44">
                  <c:v>59.083333333333336</c:v>
                </c:pt>
                <c:pt idx="45">
                  <c:v>77.666666666666671</c:v>
                </c:pt>
                <c:pt idx="46">
                  <c:v>93.75</c:v>
                </c:pt>
                <c:pt idx="47">
                  <c:v>65.25</c:v>
                </c:pt>
                <c:pt idx="48">
                  <c:v>100</c:v>
                </c:pt>
                <c:pt idx="49">
                  <c:v>38.416666666666664</c:v>
                </c:pt>
                <c:pt idx="50">
                  <c:v>64.166666666666671</c:v>
                </c:pt>
                <c:pt idx="51">
                  <c:v>85.416666666666671</c:v>
                </c:pt>
                <c:pt idx="52">
                  <c:v>42</c:v>
                </c:pt>
                <c:pt idx="53">
                  <c:v>38.083333333333336</c:v>
                </c:pt>
                <c:pt idx="54">
                  <c:v>53.833333333333336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0F3-459D-972E-313BBB189A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0219143"/>
        <c:axId val="680221191"/>
      </c:scatterChart>
      <c:valAx>
        <c:axId val="680219143"/>
        <c:scaling>
          <c:orientation val="minMax"/>
          <c:max val="2025"/>
          <c:min val="197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80221191"/>
        <c:crosses val="autoZero"/>
        <c:crossBetween val="midCat"/>
        <c:majorUnit val="1"/>
      </c:valAx>
      <c:valAx>
        <c:axId val="680221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000" b="0" i="0" u="none" strike="noStrike" baseline="0">
                    <a:effectLst/>
                  </a:rPr>
                  <a:t>запас воды в снеге, см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802191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100889001778003"/>
          <c:y val="3.8095238095238099E-2"/>
          <c:w val="0.87533519600372534"/>
          <c:h val="0.82961638886048339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410752688172043E-2"/>
                  <c:y val="0.5396999011487200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Карагандинская!$A$2:$A$56</c:f>
              <c:numCache>
                <c:formatCode>General</c:formatCode>
                <c:ptCount val="55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  <c:pt idx="45">
                  <c:v>2016</c:v>
                </c:pt>
                <c:pt idx="46">
                  <c:v>2017</c:v>
                </c:pt>
                <c:pt idx="47">
                  <c:v>2018</c:v>
                </c:pt>
                <c:pt idx="48">
                  <c:v>2019</c:v>
                </c:pt>
                <c:pt idx="49">
                  <c:v>2020</c:v>
                </c:pt>
                <c:pt idx="50">
                  <c:v>2021</c:v>
                </c:pt>
                <c:pt idx="51">
                  <c:v>2022</c:v>
                </c:pt>
                <c:pt idx="52">
                  <c:v>2023</c:v>
                </c:pt>
                <c:pt idx="53">
                  <c:v>2024</c:v>
                </c:pt>
                <c:pt idx="54">
                  <c:v>2025</c:v>
                </c:pt>
              </c:numCache>
            </c:numRef>
          </c:xVal>
          <c:yVal>
            <c:numRef>
              <c:f>Карагандинская!$Q$2:$Q$56</c:f>
              <c:numCache>
                <c:formatCode>0</c:formatCode>
                <c:ptCount val="55"/>
                <c:pt idx="0">
                  <c:v>50.142857142857146</c:v>
                </c:pt>
                <c:pt idx="1">
                  <c:v>54.285714285714285</c:v>
                </c:pt>
                <c:pt idx="2">
                  <c:v>58.214285714285715</c:v>
                </c:pt>
                <c:pt idx="3">
                  <c:v>44.142857142857146</c:v>
                </c:pt>
                <c:pt idx="4">
                  <c:v>38.142857142857146</c:v>
                </c:pt>
                <c:pt idx="5">
                  <c:v>51</c:v>
                </c:pt>
                <c:pt idx="6">
                  <c:v>64.285714285714292</c:v>
                </c:pt>
                <c:pt idx="7">
                  <c:v>50.714285714285715</c:v>
                </c:pt>
                <c:pt idx="8">
                  <c:v>58.919999999999995</c:v>
                </c:pt>
                <c:pt idx="9">
                  <c:v>24.957142857142856</c:v>
                </c:pt>
                <c:pt idx="10">
                  <c:v>49.435714285714297</c:v>
                </c:pt>
                <c:pt idx="11">
                  <c:v>48.55</c:v>
                </c:pt>
                <c:pt idx="12">
                  <c:v>42.929285714285712</c:v>
                </c:pt>
                <c:pt idx="13">
                  <c:v>43.178571428571431</c:v>
                </c:pt>
                <c:pt idx="14">
                  <c:v>55.058571428571433</c:v>
                </c:pt>
                <c:pt idx="15">
                  <c:v>53.5</c:v>
                </c:pt>
                <c:pt idx="16">
                  <c:v>60.785714285714285</c:v>
                </c:pt>
                <c:pt idx="17">
                  <c:v>60</c:v>
                </c:pt>
                <c:pt idx="18">
                  <c:v>65.5</c:v>
                </c:pt>
                <c:pt idx="19">
                  <c:v>69.214285714285708</c:v>
                </c:pt>
                <c:pt idx="20">
                  <c:v>57.142857142857146</c:v>
                </c:pt>
                <c:pt idx="21">
                  <c:v>59.5</c:v>
                </c:pt>
                <c:pt idx="22">
                  <c:v>75.214285714285708</c:v>
                </c:pt>
                <c:pt idx="23">
                  <c:v>69.142857142857139</c:v>
                </c:pt>
                <c:pt idx="24">
                  <c:v>43.357142857142854</c:v>
                </c:pt>
                <c:pt idx="25">
                  <c:v>46.071428571428569</c:v>
                </c:pt>
                <c:pt idx="26">
                  <c:v>58.928571428571431</c:v>
                </c:pt>
                <c:pt idx="27">
                  <c:v>69.071428571428569</c:v>
                </c:pt>
                <c:pt idx="28">
                  <c:v>42.714285714285715</c:v>
                </c:pt>
                <c:pt idx="29">
                  <c:v>69</c:v>
                </c:pt>
                <c:pt idx="30">
                  <c:v>82.285714285714292</c:v>
                </c:pt>
                <c:pt idx="31">
                  <c:v>37.285714285714285</c:v>
                </c:pt>
                <c:pt idx="32">
                  <c:v>61.571428571428569</c:v>
                </c:pt>
                <c:pt idx="33">
                  <c:v>62.071428571428569</c:v>
                </c:pt>
                <c:pt idx="34">
                  <c:v>42.428571428571431</c:v>
                </c:pt>
                <c:pt idx="35">
                  <c:v>49.142857142857146</c:v>
                </c:pt>
                <c:pt idx="36">
                  <c:v>61.285714285714285</c:v>
                </c:pt>
                <c:pt idx="37">
                  <c:v>60.857142857142854</c:v>
                </c:pt>
                <c:pt idx="38">
                  <c:v>47</c:v>
                </c:pt>
                <c:pt idx="39">
                  <c:v>77.857142857142861</c:v>
                </c:pt>
                <c:pt idx="40">
                  <c:v>59.642857142857146</c:v>
                </c:pt>
                <c:pt idx="41">
                  <c:v>64.5</c:v>
                </c:pt>
                <c:pt idx="42">
                  <c:v>82.285714285714292</c:v>
                </c:pt>
                <c:pt idx="43">
                  <c:v>81.428571428571431</c:v>
                </c:pt>
                <c:pt idx="44">
                  <c:v>68.285714285714292</c:v>
                </c:pt>
                <c:pt idx="45">
                  <c:v>81.142857142857139</c:v>
                </c:pt>
                <c:pt idx="46">
                  <c:v>75.285714285714292</c:v>
                </c:pt>
                <c:pt idx="47">
                  <c:v>53.428571428571431</c:v>
                </c:pt>
                <c:pt idx="48">
                  <c:v>67.857142857142861</c:v>
                </c:pt>
                <c:pt idx="49">
                  <c:v>75.785714285714292</c:v>
                </c:pt>
                <c:pt idx="50">
                  <c:v>60.285714285714285</c:v>
                </c:pt>
                <c:pt idx="51">
                  <c:v>45.714285714285715</c:v>
                </c:pt>
                <c:pt idx="52">
                  <c:v>78.142857142857139</c:v>
                </c:pt>
                <c:pt idx="53">
                  <c:v>47.46153846153846</c:v>
                </c:pt>
                <c:pt idx="54">
                  <c:v>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A5B-4BF0-884E-0200F47A1C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0263175"/>
        <c:axId val="680244743"/>
      </c:scatterChart>
      <c:valAx>
        <c:axId val="680263175"/>
        <c:scaling>
          <c:orientation val="minMax"/>
          <c:max val="2025"/>
          <c:min val="197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80244743"/>
        <c:crosses val="autoZero"/>
        <c:crossBetween val="midCat"/>
        <c:majorUnit val="1"/>
      </c:valAx>
      <c:valAx>
        <c:axId val="680244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000" b="0" i="0" u="none" strike="noStrike" baseline="0">
                    <a:effectLst/>
                  </a:rPr>
                  <a:t>запас воды в снеге, см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802631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035458049442209"/>
          <c:y val="3.8194444444444448E-2"/>
          <c:w val="0.86817152980328416"/>
          <c:h val="0.78056157042869634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7198633479746216E-2"/>
                  <c:y val="0.3502277449693788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'Костанайская '!$A$2:$A$56</c:f>
              <c:numCache>
                <c:formatCode>General</c:formatCode>
                <c:ptCount val="55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  <c:pt idx="45">
                  <c:v>2016</c:v>
                </c:pt>
                <c:pt idx="46">
                  <c:v>2017</c:v>
                </c:pt>
                <c:pt idx="47">
                  <c:v>2018</c:v>
                </c:pt>
                <c:pt idx="48">
                  <c:v>2019</c:v>
                </c:pt>
                <c:pt idx="49">
                  <c:v>2020</c:v>
                </c:pt>
                <c:pt idx="50">
                  <c:v>2021</c:v>
                </c:pt>
                <c:pt idx="51">
                  <c:v>2022</c:v>
                </c:pt>
                <c:pt idx="52">
                  <c:v>2023</c:v>
                </c:pt>
                <c:pt idx="53">
                  <c:v>2024</c:v>
                </c:pt>
                <c:pt idx="54">
                  <c:v>2025</c:v>
                </c:pt>
              </c:numCache>
            </c:numRef>
          </c:xVal>
          <c:yVal>
            <c:numRef>
              <c:f>'Костанайская '!$U$2:$U$56</c:f>
              <c:numCache>
                <c:formatCode>0</c:formatCode>
                <c:ptCount val="55"/>
                <c:pt idx="0">
                  <c:v>72.818181818181813</c:v>
                </c:pt>
                <c:pt idx="1">
                  <c:v>52.363636363636367</c:v>
                </c:pt>
                <c:pt idx="2">
                  <c:v>63.272727272727273</c:v>
                </c:pt>
                <c:pt idx="3">
                  <c:v>41.636363636363633</c:v>
                </c:pt>
                <c:pt idx="4">
                  <c:v>52</c:v>
                </c:pt>
                <c:pt idx="5">
                  <c:v>78.36363636363636</c:v>
                </c:pt>
                <c:pt idx="6">
                  <c:v>82.909090909090907</c:v>
                </c:pt>
                <c:pt idx="7">
                  <c:v>72.68421052631578</c:v>
                </c:pt>
                <c:pt idx="8">
                  <c:v>66.23368421052632</c:v>
                </c:pt>
                <c:pt idx="9">
                  <c:v>72.074210526315795</c:v>
                </c:pt>
                <c:pt idx="10">
                  <c:v>48.69</c:v>
                </c:pt>
                <c:pt idx="11">
                  <c:v>69.336842105263159</c:v>
                </c:pt>
                <c:pt idx="12">
                  <c:v>77.263157894736835</c:v>
                </c:pt>
                <c:pt idx="13">
                  <c:v>61.734210526315792</c:v>
                </c:pt>
                <c:pt idx="14">
                  <c:v>71.55263157894737</c:v>
                </c:pt>
                <c:pt idx="15">
                  <c:v>75.94736842105263</c:v>
                </c:pt>
                <c:pt idx="16">
                  <c:v>88.15789473684211</c:v>
                </c:pt>
                <c:pt idx="17">
                  <c:v>61</c:v>
                </c:pt>
                <c:pt idx="18">
                  <c:v>96</c:v>
                </c:pt>
                <c:pt idx="19">
                  <c:v>77.736842105263165</c:v>
                </c:pt>
                <c:pt idx="20">
                  <c:v>54.055555555555557</c:v>
                </c:pt>
                <c:pt idx="21">
                  <c:v>86.333333333333329</c:v>
                </c:pt>
                <c:pt idx="22">
                  <c:v>85.944444444444443</c:v>
                </c:pt>
                <c:pt idx="23">
                  <c:v>86.941176470588232</c:v>
                </c:pt>
                <c:pt idx="24">
                  <c:v>65.666666666666671</c:v>
                </c:pt>
                <c:pt idx="25">
                  <c:v>58.611111111111114</c:v>
                </c:pt>
                <c:pt idx="26">
                  <c:v>88</c:v>
                </c:pt>
                <c:pt idx="27">
                  <c:v>67.888888888888886</c:v>
                </c:pt>
                <c:pt idx="28">
                  <c:v>86</c:v>
                </c:pt>
                <c:pt idx="29">
                  <c:v>69.78947368421052</c:v>
                </c:pt>
                <c:pt idx="30">
                  <c:v>96.315789473684205</c:v>
                </c:pt>
                <c:pt idx="31">
                  <c:v>67.10526315789474</c:v>
                </c:pt>
                <c:pt idx="32">
                  <c:v>69.684210526315795</c:v>
                </c:pt>
                <c:pt idx="33">
                  <c:v>55.94736842105263</c:v>
                </c:pt>
                <c:pt idx="34">
                  <c:v>94.315789473684205</c:v>
                </c:pt>
                <c:pt idx="35">
                  <c:v>52.368421052631582</c:v>
                </c:pt>
                <c:pt idx="36">
                  <c:v>78.315789473684205</c:v>
                </c:pt>
                <c:pt idx="37">
                  <c:v>69.263157894736835</c:v>
                </c:pt>
                <c:pt idx="38">
                  <c:v>46.631578947368418</c:v>
                </c:pt>
                <c:pt idx="39">
                  <c:v>67.263157894736835</c:v>
                </c:pt>
                <c:pt idx="40">
                  <c:v>58.473684210526315</c:v>
                </c:pt>
                <c:pt idx="41">
                  <c:v>50.210526315789473</c:v>
                </c:pt>
                <c:pt idx="42">
                  <c:v>100.63157894736842</c:v>
                </c:pt>
                <c:pt idx="43">
                  <c:v>98.368421052631575</c:v>
                </c:pt>
                <c:pt idx="44">
                  <c:v>70.263157894736835</c:v>
                </c:pt>
                <c:pt idx="45">
                  <c:v>132.89473684210526</c:v>
                </c:pt>
                <c:pt idx="46">
                  <c:v>84.15789473684211</c:v>
                </c:pt>
                <c:pt idx="47">
                  <c:v>57.368421052631582</c:v>
                </c:pt>
                <c:pt idx="48">
                  <c:v>66.631578947368425</c:v>
                </c:pt>
                <c:pt idx="49">
                  <c:v>94.10526315789474</c:v>
                </c:pt>
                <c:pt idx="50">
                  <c:v>87.421052631578945</c:v>
                </c:pt>
                <c:pt idx="51">
                  <c:v>92.368421052631575</c:v>
                </c:pt>
                <c:pt idx="52">
                  <c:v>86.526315789473685</c:v>
                </c:pt>
                <c:pt idx="53">
                  <c:v>81.526315789473685</c:v>
                </c:pt>
                <c:pt idx="54">
                  <c:v>84.333333333333329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485-4D30-8512-02A30BD909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8045320"/>
        <c:axId val="1828047368"/>
      </c:scatterChart>
      <c:valAx>
        <c:axId val="1828045320"/>
        <c:scaling>
          <c:orientation val="minMax"/>
          <c:max val="2025"/>
          <c:min val="197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28047368"/>
        <c:crosses val="autoZero"/>
        <c:crossBetween val="midCat"/>
        <c:majorUnit val="1"/>
      </c:valAx>
      <c:valAx>
        <c:axId val="1828047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000" b="0" i="0" u="none" strike="noStrike" baseline="0">
                    <a:effectLst/>
                  </a:rPr>
                  <a:t>запас воды в снеге, см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28045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148078898164486"/>
          <c:y val="4.3781094527363187E-2"/>
          <c:w val="0.84399301257911319"/>
          <c:h val="0.7643850041132918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2.8049052396878483E-2"/>
                  <c:y val="-0.5727338112586672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Кызылорда!$A$2:$A$56</c:f>
              <c:numCache>
                <c:formatCode>General</c:formatCode>
                <c:ptCount val="55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  <c:pt idx="45">
                  <c:v>2016</c:v>
                </c:pt>
                <c:pt idx="46">
                  <c:v>2017</c:v>
                </c:pt>
                <c:pt idx="47">
                  <c:v>2018</c:v>
                </c:pt>
                <c:pt idx="48">
                  <c:v>2019</c:v>
                </c:pt>
                <c:pt idx="49">
                  <c:v>2020</c:v>
                </c:pt>
                <c:pt idx="50">
                  <c:v>2021</c:v>
                </c:pt>
                <c:pt idx="51">
                  <c:v>2022</c:v>
                </c:pt>
                <c:pt idx="52">
                  <c:v>2023</c:v>
                </c:pt>
                <c:pt idx="53">
                  <c:v>2024</c:v>
                </c:pt>
                <c:pt idx="54">
                  <c:v>2025</c:v>
                </c:pt>
              </c:numCache>
            </c:numRef>
          </c:xVal>
          <c:yVal>
            <c:numRef>
              <c:f>Кызылорда!$K$2:$K$56</c:f>
              <c:numCache>
                <c:formatCode>0</c:formatCode>
                <c:ptCount val="55"/>
                <c:pt idx="0">
                  <c:v>15</c:v>
                </c:pt>
                <c:pt idx="1">
                  <c:v>19.5</c:v>
                </c:pt>
                <c:pt idx="2">
                  <c:v>25</c:v>
                </c:pt>
                <c:pt idx="3">
                  <c:v>22.75</c:v>
                </c:pt>
                <c:pt idx="4">
                  <c:v>3.5</c:v>
                </c:pt>
                <c:pt idx="5">
                  <c:v>11</c:v>
                </c:pt>
                <c:pt idx="6">
                  <c:v>26.25</c:v>
                </c:pt>
                <c:pt idx="7">
                  <c:v>18.8</c:v>
                </c:pt>
                <c:pt idx="8">
                  <c:v>7.8</c:v>
                </c:pt>
                <c:pt idx="9">
                  <c:v>29.333333333333332</c:v>
                </c:pt>
                <c:pt idx="10">
                  <c:v>6</c:v>
                </c:pt>
                <c:pt idx="11">
                  <c:v>21.833333333333332</c:v>
                </c:pt>
                <c:pt idx="12">
                  <c:v>15.571428571428571</c:v>
                </c:pt>
                <c:pt idx="13">
                  <c:v>23.857142857142858</c:v>
                </c:pt>
                <c:pt idx="14">
                  <c:v>17.857142857142858</c:v>
                </c:pt>
                <c:pt idx="15">
                  <c:v>11.571428571428571</c:v>
                </c:pt>
                <c:pt idx="16">
                  <c:v>26.428571428571427</c:v>
                </c:pt>
                <c:pt idx="17">
                  <c:v>31.857142857142858</c:v>
                </c:pt>
                <c:pt idx="18">
                  <c:v>21.571428571428573</c:v>
                </c:pt>
                <c:pt idx="19">
                  <c:v>21.857142857142858</c:v>
                </c:pt>
                <c:pt idx="20">
                  <c:v>38.571428571428569</c:v>
                </c:pt>
                <c:pt idx="21">
                  <c:v>14.857142857142858</c:v>
                </c:pt>
                <c:pt idx="22">
                  <c:v>27.714285714285715</c:v>
                </c:pt>
                <c:pt idx="23">
                  <c:v>60</c:v>
                </c:pt>
                <c:pt idx="24">
                  <c:v>28.142857142857142</c:v>
                </c:pt>
                <c:pt idx="25">
                  <c:v>5.7142857142857144</c:v>
                </c:pt>
                <c:pt idx="26">
                  <c:v>10.571428571428571</c:v>
                </c:pt>
                <c:pt idx="27">
                  <c:v>32.857142857142854</c:v>
                </c:pt>
                <c:pt idx="28">
                  <c:v>3.5714285714285716</c:v>
                </c:pt>
                <c:pt idx="29">
                  <c:v>6.2857142857142856</c:v>
                </c:pt>
                <c:pt idx="30">
                  <c:v>14.428571428571429</c:v>
                </c:pt>
                <c:pt idx="31">
                  <c:v>7.2857142857142856</c:v>
                </c:pt>
                <c:pt idx="32">
                  <c:v>9.1428571428571423</c:v>
                </c:pt>
                <c:pt idx="33">
                  <c:v>1</c:v>
                </c:pt>
                <c:pt idx="34">
                  <c:v>14.285714285714286</c:v>
                </c:pt>
                <c:pt idx="35">
                  <c:v>17.714285714285715</c:v>
                </c:pt>
                <c:pt idx="36">
                  <c:v>10.857142857142858</c:v>
                </c:pt>
                <c:pt idx="37">
                  <c:v>14.714285714285714</c:v>
                </c:pt>
                <c:pt idx="38">
                  <c:v>11.285714285714286</c:v>
                </c:pt>
                <c:pt idx="39">
                  <c:v>9.7142857142857135</c:v>
                </c:pt>
                <c:pt idx="40">
                  <c:v>13.571428571428571</c:v>
                </c:pt>
                <c:pt idx="41">
                  <c:v>13.285714285714286</c:v>
                </c:pt>
                <c:pt idx="42">
                  <c:v>6.8571428571428568</c:v>
                </c:pt>
                <c:pt idx="43">
                  <c:v>9</c:v>
                </c:pt>
                <c:pt idx="44">
                  <c:v>4.4285714285714288</c:v>
                </c:pt>
                <c:pt idx="45">
                  <c:v>3</c:v>
                </c:pt>
                <c:pt idx="46">
                  <c:v>15.428571428571429</c:v>
                </c:pt>
                <c:pt idx="47">
                  <c:v>11.285714285714286</c:v>
                </c:pt>
                <c:pt idx="48">
                  <c:v>6.8571428571428568</c:v>
                </c:pt>
                <c:pt idx="49">
                  <c:v>12.285714285714286</c:v>
                </c:pt>
                <c:pt idx="50">
                  <c:v>4.7142857142857144</c:v>
                </c:pt>
                <c:pt idx="51">
                  <c:v>9.4285714285714288</c:v>
                </c:pt>
                <c:pt idx="52">
                  <c:v>8.8571428571428577</c:v>
                </c:pt>
                <c:pt idx="53">
                  <c:v>9.4285714285714288</c:v>
                </c:pt>
                <c:pt idx="54">
                  <c:v>20.5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30D-471F-846A-595D917F0D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9408519"/>
        <c:axId val="364856839"/>
      </c:scatterChart>
      <c:valAx>
        <c:axId val="1409408519"/>
        <c:scaling>
          <c:orientation val="minMax"/>
          <c:max val="2025"/>
          <c:min val="197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64856839"/>
        <c:crosses val="autoZero"/>
        <c:crossBetween val="midCat"/>
        <c:majorUnit val="1"/>
      </c:valAx>
      <c:valAx>
        <c:axId val="364856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000" b="0" i="0" u="none" strike="noStrike" baseline="0">
                    <a:effectLst/>
                  </a:rPr>
                  <a:t>запас воды в снеге, см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094085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600217840205133E-2"/>
          <c:y val="3.7225042301184431E-2"/>
          <c:w val="0.88286429614165662"/>
          <c:h val="0.85381296881037083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5.8789625360230547E-3"/>
                  <c:y val="-0.4821343778728166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Мангистау!$A$2:$A$56</c:f>
              <c:numCache>
                <c:formatCode>General</c:formatCode>
                <c:ptCount val="55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  <c:pt idx="45">
                  <c:v>2016</c:v>
                </c:pt>
                <c:pt idx="46">
                  <c:v>2017</c:v>
                </c:pt>
                <c:pt idx="47">
                  <c:v>2018</c:v>
                </c:pt>
                <c:pt idx="48">
                  <c:v>2019</c:v>
                </c:pt>
                <c:pt idx="49">
                  <c:v>2020</c:v>
                </c:pt>
                <c:pt idx="50">
                  <c:v>2021</c:v>
                </c:pt>
                <c:pt idx="51">
                  <c:v>2022</c:v>
                </c:pt>
                <c:pt idx="52">
                  <c:v>2023</c:v>
                </c:pt>
                <c:pt idx="53">
                  <c:v>2024</c:v>
                </c:pt>
                <c:pt idx="54">
                  <c:v>2025</c:v>
                </c:pt>
              </c:numCache>
            </c:numRef>
          </c:xVal>
          <c:yVal>
            <c:numRef>
              <c:f>Мангистау!$H$2:$H$56</c:f>
              <c:numCache>
                <c:formatCode>0</c:formatCode>
                <c:ptCount val="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10.15</c:v>
                </c:pt>
                <c:pt idx="8">
                  <c:v>8.5666666666666664</c:v>
                </c:pt>
                <c:pt idx="9">
                  <c:v>19.866666666666667</c:v>
                </c:pt>
                <c:pt idx="10">
                  <c:v>1.8</c:v>
                </c:pt>
                <c:pt idx="11">
                  <c:v>24.353333333333335</c:v>
                </c:pt>
                <c:pt idx="12">
                  <c:v>14.166666666666666</c:v>
                </c:pt>
                <c:pt idx="13">
                  <c:v>0</c:v>
                </c:pt>
                <c:pt idx="14">
                  <c:v>8.0499999999999989</c:v>
                </c:pt>
                <c:pt idx="15">
                  <c:v>1</c:v>
                </c:pt>
                <c:pt idx="16">
                  <c:v>6</c:v>
                </c:pt>
                <c:pt idx="17">
                  <c:v>32.5</c:v>
                </c:pt>
                <c:pt idx="18">
                  <c:v>8.1666666666666661</c:v>
                </c:pt>
                <c:pt idx="19">
                  <c:v>6.666666666666667</c:v>
                </c:pt>
                <c:pt idx="20">
                  <c:v>15.5</c:v>
                </c:pt>
                <c:pt idx="21">
                  <c:v>14</c:v>
                </c:pt>
                <c:pt idx="22">
                  <c:v>10.333333333333334</c:v>
                </c:pt>
                <c:pt idx="23">
                  <c:v>42.166666666666664</c:v>
                </c:pt>
                <c:pt idx="24">
                  <c:v>13.166666666666666</c:v>
                </c:pt>
                <c:pt idx="25">
                  <c:v>2.8333333333333335</c:v>
                </c:pt>
                <c:pt idx="26">
                  <c:v>5.333333333333333</c:v>
                </c:pt>
                <c:pt idx="27">
                  <c:v>14.333333333333334</c:v>
                </c:pt>
                <c:pt idx="28">
                  <c:v>0</c:v>
                </c:pt>
                <c:pt idx="29">
                  <c:v>4</c:v>
                </c:pt>
                <c:pt idx="30">
                  <c:v>0.16666666666666666</c:v>
                </c:pt>
                <c:pt idx="31">
                  <c:v>5.333333333333333</c:v>
                </c:pt>
                <c:pt idx="32">
                  <c:v>19.166666666666668</c:v>
                </c:pt>
                <c:pt idx="33">
                  <c:v>4.833333333333333</c:v>
                </c:pt>
                <c:pt idx="34">
                  <c:v>9.5</c:v>
                </c:pt>
                <c:pt idx="35">
                  <c:v>49.833333333333336</c:v>
                </c:pt>
                <c:pt idx="36">
                  <c:v>9.8333333333333339</c:v>
                </c:pt>
                <c:pt idx="37">
                  <c:v>8.6666666666666661</c:v>
                </c:pt>
                <c:pt idx="38">
                  <c:v>36.833333333333336</c:v>
                </c:pt>
                <c:pt idx="39">
                  <c:v>45.166666666666664</c:v>
                </c:pt>
                <c:pt idx="40">
                  <c:v>12</c:v>
                </c:pt>
                <c:pt idx="41">
                  <c:v>32.5</c:v>
                </c:pt>
                <c:pt idx="42">
                  <c:v>8.3333333333333339</c:v>
                </c:pt>
                <c:pt idx="43">
                  <c:v>11</c:v>
                </c:pt>
                <c:pt idx="44">
                  <c:v>10.666666666666666</c:v>
                </c:pt>
                <c:pt idx="45">
                  <c:v>5.833333333333333</c:v>
                </c:pt>
                <c:pt idx="46">
                  <c:v>17.166666666666668</c:v>
                </c:pt>
                <c:pt idx="47">
                  <c:v>6.5</c:v>
                </c:pt>
                <c:pt idx="48">
                  <c:v>2</c:v>
                </c:pt>
                <c:pt idx="49">
                  <c:v>8.6666666666666661</c:v>
                </c:pt>
                <c:pt idx="50">
                  <c:v>0.5</c:v>
                </c:pt>
                <c:pt idx="51">
                  <c:v>1.3333333333333333</c:v>
                </c:pt>
                <c:pt idx="52">
                  <c:v>0</c:v>
                </c:pt>
                <c:pt idx="53">
                  <c:v>3.5</c:v>
                </c:pt>
                <c:pt idx="54">
                  <c:v>10.666666666666666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332-47F2-BA71-A212A71C80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3212551"/>
        <c:axId val="1263263751"/>
      </c:scatterChart>
      <c:valAx>
        <c:axId val="1263212551"/>
        <c:scaling>
          <c:orientation val="minMax"/>
          <c:max val="2025"/>
          <c:min val="197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63263751"/>
        <c:crosses val="autoZero"/>
        <c:crossBetween val="midCat"/>
        <c:majorUnit val="1"/>
      </c:valAx>
      <c:valAx>
        <c:axId val="1263263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000" b="0" i="0" u="none" strike="noStrike" baseline="0">
                    <a:effectLst/>
                  </a:rPr>
                  <a:t>запас воды в снеге, см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632125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6325927173541812E-2"/>
          <c:y val="4.0293040293040296E-2"/>
          <c:w val="0.87753028197678518"/>
          <c:h val="0.83443857979291047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2.9257278669043461E-2"/>
                  <c:y val="0.2849084249084248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Павлодар!$A$2:$A$56</c:f>
              <c:numCache>
                <c:formatCode>General</c:formatCode>
                <c:ptCount val="55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  <c:pt idx="45">
                  <c:v>2016</c:v>
                </c:pt>
                <c:pt idx="46">
                  <c:v>2017</c:v>
                </c:pt>
                <c:pt idx="47">
                  <c:v>2018</c:v>
                </c:pt>
                <c:pt idx="48">
                  <c:v>2019</c:v>
                </c:pt>
                <c:pt idx="49">
                  <c:v>2020</c:v>
                </c:pt>
                <c:pt idx="50">
                  <c:v>2021</c:v>
                </c:pt>
                <c:pt idx="51">
                  <c:v>2022</c:v>
                </c:pt>
                <c:pt idx="52">
                  <c:v>2023</c:v>
                </c:pt>
                <c:pt idx="53">
                  <c:v>2024</c:v>
                </c:pt>
                <c:pt idx="54">
                  <c:v>2025</c:v>
                </c:pt>
              </c:numCache>
            </c:numRef>
          </c:xVal>
          <c:yVal>
            <c:numRef>
              <c:f>Павлодар!$Q$2:$Q$56</c:f>
              <c:numCache>
                <c:formatCode>0</c:formatCode>
                <c:ptCount val="55"/>
                <c:pt idx="0">
                  <c:v>48.93333333333333</c:v>
                </c:pt>
                <c:pt idx="1">
                  <c:v>48.93333333333333</c:v>
                </c:pt>
                <c:pt idx="2">
                  <c:v>68.400000000000006</c:v>
                </c:pt>
                <c:pt idx="3">
                  <c:v>59.06666666666667</c:v>
                </c:pt>
                <c:pt idx="4">
                  <c:v>52.6</c:v>
                </c:pt>
                <c:pt idx="5">
                  <c:v>45.6</c:v>
                </c:pt>
                <c:pt idx="6">
                  <c:v>75.8</c:v>
                </c:pt>
                <c:pt idx="7">
                  <c:v>47.78</c:v>
                </c:pt>
                <c:pt idx="8">
                  <c:v>57.751333333333328</c:v>
                </c:pt>
                <c:pt idx="9">
                  <c:v>29.793333333333337</c:v>
                </c:pt>
                <c:pt idx="10">
                  <c:v>37.832000000000001</c:v>
                </c:pt>
                <c:pt idx="11">
                  <c:v>55.300666666666658</c:v>
                </c:pt>
                <c:pt idx="12">
                  <c:v>69.273333333333341</c:v>
                </c:pt>
                <c:pt idx="13">
                  <c:v>33.266666666666673</c:v>
                </c:pt>
                <c:pt idx="14">
                  <c:v>82.847999999999999</c:v>
                </c:pt>
                <c:pt idx="15">
                  <c:v>71.13333333333334</c:v>
                </c:pt>
                <c:pt idx="16">
                  <c:v>62</c:v>
                </c:pt>
                <c:pt idx="17">
                  <c:v>68.333333333333329</c:v>
                </c:pt>
                <c:pt idx="18">
                  <c:v>38.733333333333334</c:v>
                </c:pt>
                <c:pt idx="19">
                  <c:v>70.86666666666666</c:v>
                </c:pt>
                <c:pt idx="20">
                  <c:v>60.06666666666667</c:v>
                </c:pt>
                <c:pt idx="21">
                  <c:v>68.733333333333334</c:v>
                </c:pt>
                <c:pt idx="22">
                  <c:v>44.93333333333333</c:v>
                </c:pt>
                <c:pt idx="23">
                  <c:v>54.666666666666664</c:v>
                </c:pt>
                <c:pt idx="24">
                  <c:v>47.533333333333331</c:v>
                </c:pt>
                <c:pt idx="25">
                  <c:v>56.4</c:v>
                </c:pt>
                <c:pt idx="26">
                  <c:v>60.266666666666666</c:v>
                </c:pt>
                <c:pt idx="27">
                  <c:v>47.06666666666667</c:v>
                </c:pt>
                <c:pt idx="28">
                  <c:v>60.666666666666664</c:v>
                </c:pt>
                <c:pt idx="29">
                  <c:v>65.333333333333329</c:v>
                </c:pt>
                <c:pt idx="30">
                  <c:v>104.93333333333334</c:v>
                </c:pt>
                <c:pt idx="31">
                  <c:v>26.4</c:v>
                </c:pt>
                <c:pt idx="32">
                  <c:v>60.866666666666667</c:v>
                </c:pt>
                <c:pt idx="33">
                  <c:v>57.6</c:v>
                </c:pt>
                <c:pt idx="34">
                  <c:v>59.333333333333336</c:v>
                </c:pt>
                <c:pt idx="35">
                  <c:v>56.266666666666666</c:v>
                </c:pt>
                <c:pt idx="36">
                  <c:v>54.133333333333333</c:v>
                </c:pt>
                <c:pt idx="37">
                  <c:v>50.6</c:v>
                </c:pt>
                <c:pt idx="38">
                  <c:v>51.533333333333331</c:v>
                </c:pt>
                <c:pt idx="39">
                  <c:v>56.4</c:v>
                </c:pt>
                <c:pt idx="40">
                  <c:v>51.8</c:v>
                </c:pt>
                <c:pt idx="41">
                  <c:v>48</c:v>
                </c:pt>
                <c:pt idx="42">
                  <c:v>102.86666666666666</c:v>
                </c:pt>
                <c:pt idx="43">
                  <c:v>54.93333333333333</c:v>
                </c:pt>
                <c:pt idx="44">
                  <c:v>76.533333333333331</c:v>
                </c:pt>
                <c:pt idx="45">
                  <c:v>55.8</c:v>
                </c:pt>
                <c:pt idx="46">
                  <c:v>108</c:v>
                </c:pt>
                <c:pt idx="47">
                  <c:v>50.214285714285715</c:v>
                </c:pt>
                <c:pt idx="48">
                  <c:v>57.714285714285715</c:v>
                </c:pt>
                <c:pt idx="49">
                  <c:v>82.928571428571431</c:v>
                </c:pt>
                <c:pt idx="50">
                  <c:v>84.285714285714292</c:v>
                </c:pt>
                <c:pt idx="51">
                  <c:v>65.428571428571431</c:v>
                </c:pt>
                <c:pt idx="52">
                  <c:v>56.071428571428569</c:v>
                </c:pt>
                <c:pt idx="53">
                  <c:v>51.021428571428565</c:v>
                </c:pt>
                <c:pt idx="54">
                  <c:v>92.769230769230774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868-4A06-9104-9271E42C64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7643271"/>
        <c:axId val="85196807"/>
      </c:scatterChart>
      <c:valAx>
        <c:axId val="1637643271"/>
        <c:scaling>
          <c:orientation val="minMax"/>
          <c:max val="2025"/>
          <c:min val="197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5196807"/>
        <c:crosses val="autoZero"/>
        <c:crossBetween val="midCat"/>
        <c:majorUnit val="1"/>
      </c:valAx>
      <c:valAx>
        <c:axId val="85196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000" b="0" i="0" u="none" strike="noStrike" baseline="0">
                    <a:effectLst/>
                  </a:rPr>
                  <a:t>запас воды в снеге, см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376432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1020083163761839E-2"/>
          <c:y val="3.8095238095238099E-2"/>
          <c:w val="0.88543791576614717"/>
          <c:h val="0.84346920271329717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0294275013376137E-2"/>
                  <c:y val="0.3308711865562259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СКО!$A$2:$A$56</c:f>
              <c:numCache>
                <c:formatCode>General</c:formatCode>
                <c:ptCount val="55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  <c:pt idx="45">
                  <c:v>2016</c:v>
                </c:pt>
                <c:pt idx="46">
                  <c:v>2017</c:v>
                </c:pt>
                <c:pt idx="47">
                  <c:v>2018</c:v>
                </c:pt>
                <c:pt idx="48">
                  <c:v>2019</c:v>
                </c:pt>
                <c:pt idx="49">
                  <c:v>2020</c:v>
                </c:pt>
                <c:pt idx="50">
                  <c:v>2021</c:v>
                </c:pt>
                <c:pt idx="51">
                  <c:v>2022</c:v>
                </c:pt>
                <c:pt idx="52">
                  <c:v>2023</c:v>
                </c:pt>
                <c:pt idx="53">
                  <c:v>2024</c:v>
                </c:pt>
                <c:pt idx="54">
                  <c:v>2025</c:v>
                </c:pt>
              </c:numCache>
            </c:numRef>
          </c:xVal>
          <c:yVal>
            <c:numRef>
              <c:f>СКО!$N$2:$N$56</c:f>
              <c:numCache>
                <c:formatCode>0</c:formatCode>
                <c:ptCount val="55"/>
                <c:pt idx="0">
                  <c:v>80.166666666666671</c:v>
                </c:pt>
                <c:pt idx="1">
                  <c:v>55.666666666666664</c:v>
                </c:pt>
                <c:pt idx="2">
                  <c:v>77.916666666666671</c:v>
                </c:pt>
                <c:pt idx="3">
                  <c:v>52.833333333333336</c:v>
                </c:pt>
                <c:pt idx="4">
                  <c:v>70.416666666666671</c:v>
                </c:pt>
                <c:pt idx="5">
                  <c:v>60.5</c:v>
                </c:pt>
                <c:pt idx="6">
                  <c:v>90.916666666666671</c:v>
                </c:pt>
                <c:pt idx="7">
                  <c:v>58.599166666666662</c:v>
                </c:pt>
                <c:pt idx="8">
                  <c:v>71.105000000000004</c:v>
                </c:pt>
                <c:pt idx="9">
                  <c:v>83.660833333333343</c:v>
                </c:pt>
                <c:pt idx="10">
                  <c:v>52.716666666666669</c:v>
                </c:pt>
                <c:pt idx="11">
                  <c:v>62.491666666666667</c:v>
                </c:pt>
                <c:pt idx="12">
                  <c:v>64.254999999999995</c:v>
                </c:pt>
                <c:pt idx="13">
                  <c:v>49.019166666666671</c:v>
                </c:pt>
                <c:pt idx="14">
                  <c:v>80.125000000000014</c:v>
                </c:pt>
                <c:pt idx="15">
                  <c:v>86.083333333333329</c:v>
                </c:pt>
                <c:pt idx="16">
                  <c:v>87.583333333333329</c:v>
                </c:pt>
                <c:pt idx="17">
                  <c:v>87.083333333333329</c:v>
                </c:pt>
                <c:pt idx="18">
                  <c:v>79.916666666666671</c:v>
                </c:pt>
                <c:pt idx="19">
                  <c:v>77.833333333333329</c:v>
                </c:pt>
                <c:pt idx="20">
                  <c:v>48.916666666666664</c:v>
                </c:pt>
                <c:pt idx="21">
                  <c:v>72.166666666666671</c:v>
                </c:pt>
                <c:pt idx="22">
                  <c:v>70.75</c:v>
                </c:pt>
                <c:pt idx="23">
                  <c:v>94.333333333333329</c:v>
                </c:pt>
                <c:pt idx="24">
                  <c:v>65.25</c:v>
                </c:pt>
                <c:pt idx="25">
                  <c:v>64.666666666666671</c:v>
                </c:pt>
                <c:pt idx="26">
                  <c:v>72</c:v>
                </c:pt>
                <c:pt idx="27">
                  <c:v>48.333333333333336</c:v>
                </c:pt>
                <c:pt idx="28">
                  <c:v>75.833333333333329</c:v>
                </c:pt>
                <c:pt idx="29">
                  <c:v>53.75</c:v>
                </c:pt>
                <c:pt idx="30">
                  <c:v>144.75</c:v>
                </c:pt>
                <c:pt idx="31">
                  <c:v>56.833333333333336</c:v>
                </c:pt>
                <c:pt idx="32">
                  <c:v>85.416666666666671</c:v>
                </c:pt>
                <c:pt idx="33">
                  <c:v>54.916666666666664</c:v>
                </c:pt>
                <c:pt idx="34">
                  <c:v>86.416666666666671</c:v>
                </c:pt>
                <c:pt idx="35">
                  <c:v>46.75</c:v>
                </c:pt>
                <c:pt idx="36">
                  <c:v>92.666666666666671</c:v>
                </c:pt>
                <c:pt idx="37">
                  <c:v>42.75</c:v>
                </c:pt>
                <c:pt idx="38">
                  <c:v>44.5</c:v>
                </c:pt>
                <c:pt idx="39">
                  <c:v>72.666666666666671</c:v>
                </c:pt>
                <c:pt idx="40">
                  <c:v>65.25</c:v>
                </c:pt>
                <c:pt idx="41">
                  <c:v>55.5</c:v>
                </c:pt>
                <c:pt idx="42">
                  <c:v>104.91666666666667</c:v>
                </c:pt>
                <c:pt idx="43">
                  <c:v>75.083333333333329</c:v>
                </c:pt>
                <c:pt idx="44">
                  <c:v>100.91666666666667</c:v>
                </c:pt>
                <c:pt idx="45">
                  <c:v>113.75</c:v>
                </c:pt>
                <c:pt idx="46">
                  <c:v>111.66666666666667</c:v>
                </c:pt>
                <c:pt idx="47">
                  <c:v>49.5</c:v>
                </c:pt>
                <c:pt idx="48">
                  <c:v>79.583333333333329</c:v>
                </c:pt>
                <c:pt idx="49">
                  <c:v>79.25</c:v>
                </c:pt>
                <c:pt idx="50">
                  <c:v>111.83333333333333</c:v>
                </c:pt>
                <c:pt idx="51">
                  <c:v>64</c:v>
                </c:pt>
                <c:pt idx="52">
                  <c:v>79.083333333333329</c:v>
                </c:pt>
                <c:pt idx="53">
                  <c:v>110.82499999999999</c:v>
                </c:pt>
                <c:pt idx="54">
                  <c:v>85.63636363636364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393-4E1F-A063-D4E93C5115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209607"/>
        <c:axId val="85211655"/>
      </c:scatterChart>
      <c:valAx>
        <c:axId val="85209607"/>
        <c:scaling>
          <c:orientation val="minMax"/>
          <c:max val="2025"/>
          <c:min val="197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5211655"/>
        <c:crosses val="autoZero"/>
        <c:crossBetween val="midCat"/>
        <c:majorUnit val="1"/>
      </c:valAx>
      <c:valAx>
        <c:axId val="85211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000" b="0" i="0" u="none" strike="noStrike" baseline="0">
                    <a:effectLst/>
                  </a:rPr>
                  <a:t>запас воды в снеге, см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52096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158112342980539"/>
          <c:y val="4.0968342644320296E-2"/>
          <c:w val="0.85389267813095282"/>
          <c:h val="0.78697106995703736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1282051282051283E-2"/>
                  <c:y val="0.3062012639481517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Туркестанская!$A$2:$A$56</c:f>
              <c:numCache>
                <c:formatCode>General</c:formatCode>
                <c:ptCount val="55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  <c:pt idx="45">
                  <c:v>2016</c:v>
                </c:pt>
                <c:pt idx="46">
                  <c:v>2017</c:v>
                </c:pt>
                <c:pt idx="47">
                  <c:v>2018</c:v>
                </c:pt>
                <c:pt idx="48">
                  <c:v>2019</c:v>
                </c:pt>
                <c:pt idx="49">
                  <c:v>2020</c:v>
                </c:pt>
                <c:pt idx="50">
                  <c:v>2021</c:v>
                </c:pt>
                <c:pt idx="51">
                  <c:v>2022</c:v>
                </c:pt>
                <c:pt idx="52">
                  <c:v>2023</c:v>
                </c:pt>
                <c:pt idx="53">
                  <c:v>2024</c:v>
                </c:pt>
                <c:pt idx="54">
                  <c:v>2025</c:v>
                </c:pt>
              </c:numCache>
            </c:numRef>
          </c:xVal>
          <c:yVal>
            <c:numRef>
              <c:f>Туркестанская!$P$2:$P$56</c:f>
              <c:numCache>
                <c:formatCode>0</c:formatCode>
                <c:ptCount val="55"/>
                <c:pt idx="0">
                  <c:v>35.153846153846153</c:v>
                </c:pt>
                <c:pt idx="1">
                  <c:v>76.92307692307692</c:v>
                </c:pt>
                <c:pt idx="2">
                  <c:v>42.615384615384613</c:v>
                </c:pt>
                <c:pt idx="3">
                  <c:v>52.846153846153847</c:v>
                </c:pt>
                <c:pt idx="4">
                  <c:v>56.53846153846154</c:v>
                </c:pt>
                <c:pt idx="5">
                  <c:v>39.615384615384613</c:v>
                </c:pt>
                <c:pt idx="6">
                  <c:v>53</c:v>
                </c:pt>
                <c:pt idx="7">
                  <c:v>65.298461538461538</c:v>
                </c:pt>
                <c:pt idx="8">
                  <c:v>57.782307692307697</c:v>
                </c:pt>
                <c:pt idx="9">
                  <c:v>56.153846153846153</c:v>
                </c:pt>
                <c:pt idx="10">
                  <c:v>28.46153846153846</c:v>
                </c:pt>
                <c:pt idx="11">
                  <c:v>49.608461538461547</c:v>
                </c:pt>
                <c:pt idx="12">
                  <c:v>41.823076923076918</c:v>
                </c:pt>
                <c:pt idx="13">
                  <c:v>54.08461538461539</c:v>
                </c:pt>
                <c:pt idx="14">
                  <c:v>76.723076923076917</c:v>
                </c:pt>
                <c:pt idx="15">
                  <c:v>28.507692307692309</c:v>
                </c:pt>
                <c:pt idx="16">
                  <c:v>33.615384615384613</c:v>
                </c:pt>
                <c:pt idx="17">
                  <c:v>62.769230769230766</c:v>
                </c:pt>
                <c:pt idx="18">
                  <c:v>88.92307692307692</c:v>
                </c:pt>
                <c:pt idx="19">
                  <c:v>60.769230769230766</c:v>
                </c:pt>
                <c:pt idx="20">
                  <c:v>71.307692307692307</c:v>
                </c:pt>
                <c:pt idx="21">
                  <c:v>61.92307692307692</c:v>
                </c:pt>
                <c:pt idx="22">
                  <c:v>63.153846153846153</c:v>
                </c:pt>
                <c:pt idx="23">
                  <c:v>130.69230769230768</c:v>
                </c:pt>
                <c:pt idx="24">
                  <c:v>50</c:v>
                </c:pt>
                <c:pt idx="25">
                  <c:v>60.07692307692308</c:v>
                </c:pt>
                <c:pt idx="26">
                  <c:v>74.07692307692308</c:v>
                </c:pt>
                <c:pt idx="27">
                  <c:v>103.30769230769231</c:v>
                </c:pt>
                <c:pt idx="28">
                  <c:v>47.384615384615387</c:v>
                </c:pt>
                <c:pt idx="29">
                  <c:v>44</c:v>
                </c:pt>
                <c:pt idx="30">
                  <c:v>65.15384615384616</c:v>
                </c:pt>
                <c:pt idx="31">
                  <c:v>57.692307692307693</c:v>
                </c:pt>
                <c:pt idx="32">
                  <c:v>77.692307692307693</c:v>
                </c:pt>
                <c:pt idx="33">
                  <c:v>36</c:v>
                </c:pt>
                <c:pt idx="34">
                  <c:v>122.46153846153847</c:v>
                </c:pt>
                <c:pt idx="35">
                  <c:v>90.384615384615387</c:v>
                </c:pt>
                <c:pt idx="36">
                  <c:v>77.769230769230774</c:v>
                </c:pt>
                <c:pt idx="37">
                  <c:v>80.84615384615384</c:v>
                </c:pt>
                <c:pt idx="38">
                  <c:v>58.846153846153847</c:v>
                </c:pt>
                <c:pt idx="39">
                  <c:v>76.92307692307692</c:v>
                </c:pt>
                <c:pt idx="40">
                  <c:v>37.07692307692308</c:v>
                </c:pt>
                <c:pt idx="41">
                  <c:v>91.230769230769226</c:v>
                </c:pt>
                <c:pt idx="42">
                  <c:v>75.230769230769226</c:v>
                </c:pt>
                <c:pt idx="43">
                  <c:v>89.461538461538467</c:v>
                </c:pt>
                <c:pt idx="44">
                  <c:v>58.307692307692307</c:v>
                </c:pt>
                <c:pt idx="45">
                  <c:v>59.07692307692308</c:v>
                </c:pt>
                <c:pt idx="46">
                  <c:v>105.15384615384616</c:v>
                </c:pt>
                <c:pt idx="47">
                  <c:v>35.07692307692308</c:v>
                </c:pt>
                <c:pt idx="48">
                  <c:v>49.384615384615387</c:v>
                </c:pt>
                <c:pt idx="49">
                  <c:v>56.307692307692307</c:v>
                </c:pt>
                <c:pt idx="50">
                  <c:v>49.846153846153847</c:v>
                </c:pt>
                <c:pt idx="51">
                  <c:v>52.307692307692307</c:v>
                </c:pt>
                <c:pt idx="52">
                  <c:v>79.307692307692307</c:v>
                </c:pt>
                <c:pt idx="53">
                  <c:v>49.707692307692312</c:v>
                </c:pt>
                <c:pt idx="54">
                  <c:v>31.23076923076923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5C4-4E14-A74D-4B57B94035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143495"/>
        <c:axId val="46145543"/>
      </c:scatterChart>
      <c:valAx>
        <c:axId val="46143495"/>
        <c:scaling>
          <c:orientation val="minMax"/>
          <c:max val="2025"/>
          <c:min val="197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6145543"/>
        <c:crosses val="autoZero"/>
        <c:crossBetween val="midCat"/>
        <c:majorUnit val="1"/>
      </c:valAx>
      <c:valAx>
        <c:axId val="46145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000" b="0" i="0" u="none" strike="noStrike" baseline="0">
                    <a:effectLst/>
                  </a:rPr>
                  <a:t>запас воды в снеге, см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61434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757361498643838"/>
          <c:y val="4.4176706827309238E-2"/>
          <c:w val="0.8552155006598201"/>
          <c:h val="0.80643265977295009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8.1632653061233557E-4"/>
                  <c:y val="-0.2655077000917053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Улытау!$A$2:$A$56</c:f>
              <c:numCache>
                <c:formatCode>General</c:formatCode>
                <c:ptCount val="55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  <c:pt idx="45">
                  <c:v>2016</c:v>
                </c:pt>
                <c:pt idx="46">
                  <c:v>2017</c:v>
                </c:pt>
                <c:pt idx="47">
                  <c:v>2018</c:v>
                </c:pt>
                <c:pt idx="48">
                  <c:v>2019</c:v>
                </c:pt>
                <c:pt idx="49">
                  <c:v>2020</c:v>
                </c:pt>
                <c:pt idx="50">
                  <c:v>2021</c:v>
                </c:pt>
                <c:pt idx="51">
                  <c:v>2022</c:v>
                </c:pt>
                <c:pt idx="52">
                  <c:v>2023</c:v>
                </c:pt>
                <c:pt idx="53">
                  <c:v>2024</c:v>
                </c:pt>
                <c:pt idx="54">
                  <c:v>2025</c:v>
                </c:pt>
              </c:numCache>
            </c:numRef>
          </c:xVal>
          <c:yVal>
            <c:numRef>
              <c:f>Улытау!$G$2:$G$56</c:f>
              <c:numCache>
                <c:formatCode>0</c:formatCode>
                <c:ptCount val="55"/>
                <c:pt idx="0">
                  <c:v>27.4</c:v>
                </c:pt>
                <c:pt idx="1">
                  <c:v>47.8</c:v>
                </c:pt>
                <c:pt idx="2">
                  <c:v>42.2</c:v>
                </c:pt>
                <c:pt idx="3">
                  <c:v>38</c:v>
                </c:pt>
                <c:pt idx="4">
                  <c:v>25.4</c:v>
                </c:pt>
                <c:pt idx="5">
                  <c:v>45.6</c:v>
                </c:pt>
                <c:pt idx="6">
                  <c:v>30.8</c:v>
                </c:pt>
                <c:pt idx="7">
                  <c:v>40.6</c:v>
                </c:pt>
                <c:pt idx="8">
                  <c:v>25.133999999999997</c:v>
                </c:pt>
                <c:pt idx="9">
                  <c:v>39.06</c:v>
                </c:pt>
                <c:pt idx="10">
                  <c:v>41.68</c:v>
                </c:pt>
                <c:pt idx="11">
                  <c:v>76.76400000000001</c:v>
                </c:pt>
                <c:pt idx="12">
                  <c:v>42.679999999999993</c:v>
                </c:pt>
                <c:pt idx="13">
                  <c:v>63.851999999999997</c:v>
                </c:pt>
                <c:pt idx="14">
                  <c:v>33.04</c:v>
                </c:pt>
                <c:pt idx="15">
                  <c:v>58.4</c:v>
                </c:pt>
                <c:pt idx="16">
                  <c:v>90.6</c:v>
                </c:pt>
                <c:pt idx="17">
                  <c:v>56.6</c:v>
                </c:pt>
                <c:pt idx="18">
                  <c:v>64.599999999999994</c:v>
                </c:pt>
                <c:pt idx="19">
                  <c:v>71.400000000000006</c:v>
                </c:pt>
                <c:pt idx="20">
                  <c:v>67.400000000000006</c:v>
                </c:pt>
                <c:pt idx="21">
                  <c:v>77.599999999999994</c:v>
                </c:pt>
                <c:pt idx="22">
                  <c:v>86.8</c:v>
                </c:pt>
                <c:pt idx="23">
                  <c:v>109.2</c:v>
                </c:pt>
                <c:pt idx="24">
                  <c:v>84</c:v>
                </c:pt>
                <c:pt idx="25">
                  <c:v>52.2</c:v>
                </c:pt>
                <c:pt idx="26">
                  <c:v>68.400000000000006</c:v>
                </c:pt>
                <c:pt idx="27">
                  <c:v>78</c:v>
                </c:pt>
                <c:pt idx="28">
                  <c:v>36</c:v>
                </c:pt>
                <c:pt idx="29">
                  <c:v>68.400000000000006</c:v>
                </c:pt>
                <c:pt idx="30">
                  <c:v>80.599999999999994</c:v>
                </c:pt>
                <c:pt idx="31">
                  <c:v>28.8</c:v>
                </c:pt>
                <c:pt idx="32">
                  <c:v>59.6</c:v>
                </c:pt>
                <c:pt idx="33">
                  <c:v>32</c:v>
                </c:pt>
                <c:pt idx="34">
                  <c:v>46.6</c:v>
                </c:pt>
                <c:pt idx="35">
                  <c:v>37.200000000000003</c:v>
                </c:pt>
                <c:pt idx="36">
                  <c:v>54.2</c:v>
                </c:pt>
                <c:pt idx="37">
                  <c:v>65.2</c:v>
                </c:pt>
                <c:pt idx="38">
                  <c:v>52</c:v>
                </c:pt>
                <c:pt idx="39">
                  <c:v>45.8</c:v>
                </c:pt>
                <c:pt idx="40">
                  <c:v>40.4</c:v>
                </c:pt>
                <c:pt idx="41">
                  <c:v>43.2</c:v>
                </c:pt>
                <c:pt idx="42">
                  <c:v>50</c:v>
                </c:pt>
                <c:pt idx="43">
                  <c:v>61.6</c:v>
                </c:pt>
                <c:pt idx="44">
                  <c:v>25.2</c:v>
                </c:pt>
                <c:pt idx="45">
                  <c:v>36.4</c:v>
                </c:pt>
                <c:pt idx="46">
                  <c:v>46.6</c:v>
                </c:pt>
                <c:pt idx="47">
                  <c:v>50</c:v>
                </c:pt>
                <c:pt idx="48">
                  <c:v>57.2</c:v>
                </c:pt>
                <c:pt idx="49">
                  <c:v>31</c:v>
                </c:pt>
                <c:pt idx="50">
                  <c:v>32.4</c:v>
                </c:pt>
                <c:pt idx="51">
                  <c:v>25.4</c:v>
                </c:pt>
                <c:pt idx="52">
                  <c:v>41.2</c:v>
                </c:pt>
                <c:pt idx="53">
                  <c:v>30.4</c:v>
                </c:pt>
                <c:pt idx="54">
                  <c:v>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0FD-4F4A-A26D-40DB5E9694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167047"/>
        <c:axId val="46169095"/>
      </c:scatterChart>
      <c:valAx>
        <c:axId val="46167047"/>
        <c:scaling>
          <c:orientation val="minMax"/>
          <c:max val="2025"/>
          <c:min val="197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6169095"/>
        <c:crosses val="autoZero"/>
        <c:crossBetween val="midCat"/>
        <c:majorUnit val="1"/>
      </c:valAx>
      <c:valAx>
        <c:axId val="46169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000" b="0" i="0" u="none" strike="noStrike" baseline="0">
                    <a:effectLst/>
                  </a:rPr>
                  <a:t>запас воды в снеге, см</a:t>
                </a:r>
                <a:endParaRPr lang="ru-RU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6167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57150</xdr:colOff>
      <xdr:row>8</xdr:row>
      <xdr:rowOff>47625</xdr:rowOff>
    </xdr:from>
    <xdr:to>
      <xdr:col>23</xdr:col>
      <xdr:colOff>0</xdr:colOff>
      <xdr:row>26</xdr:row>
      <xdr:rowOff>9525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83890802-F6E7-E65F-2178-D8EF87E34B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504825</xdr:colOff>
      <xdr:row>41</xdr:row>
      <xdr:rowOff>28574</xdr:rowOff>
    </xdr:from>
    <xdr:to>
      <xdr:col>19</xdr:col>
      <xdr:colOff>542925</xdr:colOff>
      <xdr:row>58</xdr:row>
      <xdr:rowOff>133349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ADCB0ED-3DF3-F413-3575-AFF1DB808B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504825</xdr:colOff>
      <xdr:row>10</xdr:row>
      <xdr:rowOff>85724</xdr:rowOff>
    </xdr:from>
    <xdr:to>
      <xdr:col>18</xdr:col>
      <xdr:colOff>600075</xdr:colOff>
      <xdr:row>26</xdr:row>
      <xdr:rowOff>133349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1C175280-FABC-3A38-1565-72B8EF9FE0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504824</xdr:colOff>
      <xdr:row>10</xdr:row>
      <xdr:rowOff>85724</xdr:rowOff>
    </xdr:from>
    <xdr:to>
      <xdr:col>18</xdr:col>
      <xdr:colOff>590549</xdr:colOff>
      <xdr:row>27</xdr:row>
      <xdr:rowOff>19049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A16D99D-E254-5549-29EF-E9A6EAEAC8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504825</xdr:colOff>
      <xdr:row>38</xdr:row>
      <xdr:rowOff>28575</xdr:rowOff>
    </xdr:from>
    <xdr:to>
      <xdr:col>19</xdr:col>
      <xdr:colOff>142875</xdr:colOff>
      <xdr:row>54</xdr:row>
      <xdr:rowOff>180975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2140A33B-0EE8-DDF6-02F1-7E4B0F1003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504825</xdr:colOff>
      <xdr:row>43</xdr:row>
      <xdr:rowOff>28574</xdr:rowOff>
    </xdr:from>
    <xdr:to>
      <xdr:col>19</xdr:col>
      <xdr:colOff>142875</xdr:colOff>
      <xdr:row>59</xdr:row>
      <xdr:rowOff>114299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42CDFE55-5F7D-EA0D-3144-8082ABD803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504825</xdr:colOff>
      <xdr:row>40</xdr:row>
      <xdr:rowOff>28575</xdr:rowOff>
    </xdr:from>
    <xdr:to>
      <xdr:col>19</xdr:col>
      <xdr:colOff>581025</xdr:colOff>
      <xdr:row>58</xdr:row>
      <xdr:rowOff>161925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754D74F1-BC5A-8732-41BB-6E71E9604E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504824</xdr:colOff>
      <xdr:row>36</xdr:row>
      <xdr:rowOff>28575</xdr:rowOff>
    </xdr:from>
    <xdr:to>
      <xdr:col>20</xdr:col>
      <xdr:colOff>19049</xdr:colOff>
      <xdr:row>53</xdr:row>
      <xdr:rowOff>180975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B7242A5B-A0D4-CF93-EC9C-A9552F66ED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504824</xdr:colOff>
      <xdr:row>40</xdr:row>
      <xdr:rowOff>57150</xdr:rowOff>
    </xdr:from>
    <xdr:to>
      <xdr:col>20</xdr:col>
      <xdr:colOff>209549</xdr:colOff>
      <xdr:row>58</xdr:row>
      <xdr:rowOff>104775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18E7CA69-4572-FF4E-EE87-B5D2B6F92D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504825</xdr:colOff>
      <xdr:row>35</xdr:row>
      <xdr:rowOff>28574</xdr:rowOff>
    </xdr:from>
    <xdr:to>
      <xdr:col>20</xdr:col>
      <xdr:colOff>314325</xdr:colOff>
      <xdr:row>54</xdr:row>
      <xdr:rowOff>76199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69EDEAFE-F4DF-06F3-3CED-767518239D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504824</xdr:colOff>
      <xdr:row>40</xdr:row>
      <xdr:rowOff>28575</xdr:rowOff>
    </xdr:from>
    <xdr:to>
      <xdr:col>21</xdr:col>
      <xdr:colOff>304799</xdr:colOff>
      <xdr:row>59</xdr:row>
      <xdr:rowOff>66675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CD521BA0-9D63-1A4B-500B-ADD4041E11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504825</xdr:colOff>
      <xdr:row>43</xdr:row>
      <xdr:rowOff>28574</xdr:rowOff>
    </xdr:from>
    <xdr:to>
      <xdr:col>20</xdr:col>
      <xdr:colOff>104775</xdr:colOff>
      <xdr:row>59</xdr:row>
      <xdr:rowOff>171449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F40BD329-44BD-702B-525D-14F516020A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504825</xdr:colOff>
      <xdr:row>37</xdr:row>
      <xdr:rowOff>28575</xdr:rowOff>
    </xdr:from>
    <xdr:to>
      <xdr:col>21</xdr:col>
      <xdr:colOff>409575</xdr:colOff>
      <xdr:row>56</xdr:row>
      <xdr:rowOff>161925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9B2FB915-5A00-BAA6-B767-8F8B8B0148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428624</xdr:colOff>
      <xdr:row>5</xdr:row>
      <xdr:rowOff>47625</xdr:rowOff>
    </xdr:from>
    <xdr:to>
      <xdr:col>26</xdr:col>
      <xdr:colOff>285749</xdr:colOff>
      <xdr:row>23</xdr:row>
      <xdr:rowOff>85725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98934700-532E-6A25-17E7-05DF4B2FE9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419099</xdr:colOff>
      <xdr:row>21</xdr:row>
      <xdr:rowOff>57149</xdr:rowOff>
    </xdr:from>
    <xdr:to>
      <xdr:col>24</xdr:col>
      <xdr:colOff>257174</xdr:colOff>
      <xdr:row>40</xdr:row>
      <xdr:rowOff>104774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145F999F-3AEF-17B3-9EC5-72D0669E02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400050</xdr:colOff>
      <xdr:row>42</xdr:row>
      <xdr:rowOff>28575</xdr:rowOff>
    </xdr:from>
    <xdr:to>
      <xdr:col>19</xdr:col>
      <xdr:colOff>542925</xdr:colOff>
      <xdr:row>60</xdr:row>
      <xdr:rowOff>9525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5384B071-EF39-BDC4-172B-46782274A8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504824</xdr:colOff>
      <xdr:row>32</xdr:row>
      <xdr:rowOff>28575</xdr:rowOff>
    </xdr:from>
    <xdr:to>
      <xdr:col>19</xdr:col>
      <xdr:colOff>152399</xdr:colOff>
      <xdr:row>48</xdr:row>
      <xdr:rowOff>142875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FF89458D-51B4-2FCB-0D61-358FD1E6B8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6"/>
  <sheetViews>
    <sheetView workbookViewId="0">
      <selection activeCell="P4" sqref="P4"/>
    </sheetView>
  </sheetViews>
  <sheetFormatPr defaultRowHeight="15" x14ac:dyDescent="0.25"/>
  <sheetData>
    <row r="1" spans="1:17" ht="75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s="3" t="s">
        <v>213</v>
      </c>
    </row>
    <row r="2" spans="1:17" x14ac:dyDescent="0.25">
      <c r="A2">
        <v>1971</v>
      </c>
      <c r="B2" s="1">
        <v>53</v>
      </c>
      <c r="C2" s="1">
        <v>88</v>
      </c>
      <c r="D2" s="1">
        <v>114</v>
      </c>
      <c r="E2" s="1">
        <v>140</v>
      </c>
      <c r="F2" s="1">
        <v>23</v>
      </c>
      <c r="G2" s="1">
        <v>30</v>
      </c>
      <c r="H2" s="1">
        <v>176</v>
      </c>
      <c r="I2" s="1">
        <v>36</v>
      </c>
      <c r="J2" s="1">
        <v>287</v>
      </c>
      <c r="K2" s="1">
        <v>126</v>
      </c>
      <c r="L2" s="1">
        <v>48</v>
      </c>
      <c r="M2" s="1">
        <f>AVERAGE(B2:L2)</f>
        <v>101.90909090909091</v>
      </c>
      <c r="N2" s="1"/>
      <c r="O2" s="1"/>
      <c r="P2" s="1"/>
      <c r="Q2" s="1"/>
    </row>
    <row r="3" spans="1:17" x14ac:dyDescent="0.25">
      <c r="A3">
        <v>1972</v>
      </c>
      <c r="B3" s="1">
        <v>58</v>
      </c>
      <c r="C3" s="1">
        <v>74</v>
      </c>
      <c r="D3" s="1">
        <v>92</v>
      </c>
      <c r="E3" s="1">
        <v>210</v>
      </c>
      <c r="F3" s="1">
        <v>43</v>
      </c>
      <c r="G3" s="1">
        <v>33</v>
      </c>
      <c r="H3" s="1">
        <v>144</v>
      </c>
      <c r="I3" s="1">
        <v>45</v>
      </c>
      <c r="J3" s="1">
        <v>178</v>
      </c>
      <c r="K3" s="1">
        <v>86</v>
      </c>
      <c r="L3" s="1">
        <v>83</v>
      </c>
      <c r="M3" s="1">
        <f t="shared" ref="M3:M56" si="0">AVERAGE(B3:L3)</f>
        <v>95.090909090909093</v>
      </c>
      <c r="N3" s="1"/>
      <c r="O3" s="1"/>
      <c r="P3" s="1"/>
      <c r="Q3" s="1"/>
    </row>
    <row r="4" spans="1:17" x14ac:dyDescent="0.25">
      <c r="A4">
        <v>1973</v>
      </c>
      <c r="B4" s="1">
        <v>31</v>
      </c>
      <c r="C4" s="1">
        <v>63</v>
      </c>
      <c r="D4" s="1">
        <v>96</v>
      </c>
      <c r="E4" s="1">
        <v>92</v>
      </c>
      <c r="F4" s="1">
        <v>19</v>
      </c>
      <c r="G4" s="1">
        <v>14</v>
      </c>
      <c r="H4" s="1">
        <v>163</v>
      </c>
      <c r="I4" s="1">
        <v>54</v>
      </c>
      <c r="J4" s="1">
        <v>220</v>
      </c>
      <c r="K4" s="1">
        <v>74</v>
      </c>
      <c r="L4" s="1">
        <v>52</v>
      </c>
      <c r="M4" s="1">
        <f t="shared" si="0"/>
        <v>79.818181818181813</v>
      </c>
      <c r="N4" s="1"/>
      <c r="O4" s="1"/>
      <c r="P4" s="1"/>
      <c r="Q4" s="1"/>
    </row>
    <row r="5" spans="1:17" x14ac:dyDescent="0.25">
      <c r="A5">
        <v>1974</v>
      </c>
      <c r="B5" s="1">
        <v>40</v>
      </c>
      <c r="C5" s="1">
        <v>52</v>
      </c>
      <c r="D5" s="1">
        <v>24</v>
      </c>
      <c r="E5" s="1">
        <v>55</v>
      </c>
      <c r="F5" s="1">
        <v>17</v>
      </c>
      <c r="G5" s="1">
        <v>10</v>
      </c>
      <c r="H5" s="1">
        <v>139</v>
      </c>
      <c r="I5" s="1">
        <v>40</v>
      </c>
      <c r="J5" s="1">
        <v>87</v>
      </c>
      <c r="K5" s="1">
        <v>32</v>
      </c>
      <c r="L5" s="1">
        <v>31</v>
      </c>
      <c r="M5" s="1">
        <f t="shared" si="0"/>
        <v>47.909090909090907</v>
      </c>
      <c r="N5" s="1"/>
      <c r="O5" s="1"/>
      <c r="P5" s="1"/>
      <c r="Q5" s="1"/>
    </row>
    <row r="6" spans="1:17" x14ac:dyDescent="0.25">
      <c r="A6">
        <v>1975</v>
      </c>
      <c r="B6" s="1">
        <v>34</v>
      </c>
      <c r="C6" s="1">
        <v>105</v>
      </c>
      <c r="D6" s="1">
        <v>34</v>
      </c>
      <c r="E6" s="1">
        <v>86</v>
      </c>
      <c r="F6" s="1">
        <v>14</v>
      </c>
      <c r="G6" s="1">
        <v>22</v>
      </c>
      <c r="H6" s="1">
        <v>108</v>
      </c>
      <c r="I6" s="1">
        <v>37</v>
      </c>
      <c r="J6" s="1">
        <v>179</v>
      </c>
      <c r="K6" s="1">
        <v>44</v>
      </c>
      <c r="L6" s="1">
        <v>62</v>
      </c>
      <c r="M6" s="1">
        <f t="shared" si="0"/>
        <v>65.909090909090907</v>
      </c>
      <c r="N6" s="1"/>
      <c r="O6" s="1"/>
      <c r="P6" s="1"/>
      <c r="Q6" s="1"/>
    </row>
    <row r="7" spans="1:17" x14ac:dyDescent="0.25">
      <c r="A7">
        <v>1976</v>
      </c>
      <c r="B7" s="1">
        <v>36</v>
      </c>
      <c r="C7" s="1">
        <v>54</v>
      </c>
      <c r="D7" s="1">
        <v>20</v>
      </c>
      <c r="E7" s="1">
        <v>106</v>
      </c>
      <c r="F7" s="1">
        <v>18</v>
      </c>
      <c r="G7" s="1">
        <v>24</v>
      </c>
      <c r="H7" s="1">
        <v>89</v>
      </c>
      <c r="I7" s="1">
        <v>48</v>
      </c>
      <c r="J7" s="1">
        <v>109</v>
      </c>
      <c r="K7" s="1">
        <v>94</v>
      </c>
      <c r="L7" s="1">
        <v>32</v>
      </c>
      <c r="M7" s="1">
        <f t="shared" si="0"/>
        <v>57.272727272727273</v>
      </c>
      <c r="N7" s="1"/>
      <c r="O7" s="1"/>
      <c r="P7" s="1"/>
      <c r="Q7" s="1"/>
    </row>
    <row r="8" spans="1:17" x14ac:dyDescent="0.25">
      <c r="A8">
        <v>1977</v>
      </c>
      <c r="B8" s="1">
        <v>34</v>
      </c>
      <c r="C8" s="1">
        <v>70</v>
      </c>
      <c r="D8" s="1">
        <v>54</v>
      </c>
      <c r="E8" s="1">
        <v>206</v>
      </c>
      <c r="F8" s="1">
        <v>26</v>
      </c>
      <c r="G8" s="1">
        <v>68</v>
      </c>
      <c r="H8" s="1">
        <v>192</v>
      </c>
      <c r="I8" s="1">
        <v>72</v>
      </c>
      <c r="J8" s="1">
        <v>189</v>
      </c>
      <c r="K8" s="1">
        <v>95</v>
      </c>
      <c r="L8" s="1">
        <v>70</v>
      </c>
      <c r="M8" s="1">
        <f t="shared" si="0"/>
        <v>97.818181818181813</v>
      </c>
      <c r="N8" s="1"/>
      <c r="O8" s="1"/>
      <c r="P8" s="1"/>
      <c r="Q8" s="1"/>
    </row>
    <row r="9" spans="1:17" x14ac:dyDescent="0.25">
      <c r="A9">
        <v>1978</v>
      </c>
      <c r="B9" s="1">
        <v>66</v>
      </c>
      <c r="C9" s="1">
        <v>81.2</v>
      </c>
      <c r="D9" s="1">
        <v>77.5</v>
      </c>
      <c r="E9" s="1">
        <v>110.2</v>
      </c>
      <c r="F9" s="1">
        <v>27.3</v>
      </c>
      <c r="G9" s="1">
        <v>66</v>
      </c>
      <c r="H9" s="1">
        <v>127.5</v>
      </c>
      <c r="I9" s="1"/>
      <c r="J9" s="1">
        <v>168.2</v>
      </c>
      <c r="K9" s="1">
        <v>94.5</v>
      </c>
      <c r="L9" s="1">
        <v>80.599999999999994</v>
      </c>
      <c r="M9" s="1">
        <f t="shared" si="0"/>
        <v>89.9</v>
      </c>
      <c r="N9" s="1"/>
      <c r="O9" s="1"/>
      <c r="P9" s="1"/>
      <c r="Q9" s="1"/>
    </row>
    <row r="10" spans="1:17" x14ac:dyDescent="0.25">
      <c r="A10">
        <v>1979</v>
      </c>
      <c r="B10" s="1">
        <v>72.8</v>
      </c>
      <c r="C10" s="1">
        <v>87</v>
      </c>
      <c r="D10" s="1">
        <v>95</v>
      </c>
      <c r="E10" s="1">
        <v>115.2</v>
      </c>
      <c r="F10" s="1">
        <v>29</v>
      </c>
      <c r="G10" s="1">
        <v>56</v>
      </c>
      <c r="H10" s="1">
        <v>174</v>
      </c>
      <c r="I10" s="1"/>
      <c r="J10" s="1">
        <v>243.2</v>
      </c>
      <c r="K10" s="1">
        <v>89.6</v>
      </c>
      <c r="L10" s="1">
        <v>57.65</v>
      </c>
      <c r="M10" s="1">
        <f t="shared" si="0"/>
        <v>101.94500000000001</v>
      </c>
      <c r="N10" s="1"/>
      <c r="O10" s="1"/>
      <c r="P10" s="1"/>
      <c r="Q10" s="1"/>
    </row>
    <row r="11" spans="1:17" x14ac:dyDescent="0.25">
      <c r="A11">
        <v>1980</v>
      </c>
      <c r="B11" s="1">
        <v>25.5</v>
      </c>
      <c r="C11" s="1">
        <v>48</v>
      </c>
      <c r="D11" s="1">
        <v>43.2</v>
      </c>
      <c r="E11" s="1">
        <v>52</v>
      </c>
      <c r="F11" s="1">
        <v>11.9</v>
      </c>
      <c r="G11" s="1">
        <v>20.8</v>
      </c>
      <c r="H11" s="1">
        <v>82.8</v>
      </c>
      <c r="I11" s="1"/>
      <c r="J11" s="1">
        <v>90</v>
      </c>
      <c r="K11" s="1">
        <v>32</v>
      </c>
      <c r="L11" s="1">
        <v>42</v>
      </c>
      <c r="M11" s="1">
        <f t="shared" si="0"/>
        <v>44.82</v>
      </c>
      <c r="N11" s="1"/>
      <c r="O11" s="1"/>
      <c r="P11" s="1"/>
      <c r="Q11" s="1"/>
    </row>
    <row r="12" spans="1:17" x14ac:dyDescent="0.25">
      <c r="A12">
        <v>1981</v>
      </c>
      <c r="B12" s="1">
        <v>46</v>
      </c>
      <c r="C12" s="1">
        <v>43.2</v>
      </c>
      <c r="D12" s="1">
        <v>42</v>
      </c>
      <c r="E12" s="1">
        <v>43.2</v>
      </c>
      <c r="F12" s="1">
        <v>12.6</v>
      </c>
      <c r="G12" s="1">
        <v>59.2</v>
      </c>
      <c r="H12" s="1">
        <v>100.8</v>
      </c>
      <c r="I12" s="1"/>
      <c r="J12" s="1">
        <v>110</v>
      </c>
      <c r="K12" s="1">
        <v>27.9</v>
      </c>
      <c r="L12" s="1">
        <v>33.799999999999997</v>
      </c>
      <c r="M12" s="1">
        <f t="shared" si="0"/>
        <v>51.86999999999999</v>
      </c>
      <c r="N12" s="1"/>
      <c r="O12" s="1"/>
      <c r="P12" s="1"/>
      <c r="Q12" s="1"/>
    </row>
    <row r="13" spans="1:17" x14ac:dyDescent="0.25">
      <c r="A13">
        <v>1982</v>
      </c>
      <c r="B13" s="1">
        <v>22</v>
      </c>
      <c r="C13" s="1">
        <v>51.2</v>
      </c>
      <c r="D13" s="1">
        <v>20.9</v>
      </c>
      <c r="E13" s="1">
        <v>65</v>
      </c>
      <c r="F13" s="1">
        <v>16.2</v>
      </c>
      <c r="G13" s="1">
        <v>44.8</v>
      </c>
      <c r="H13" s="1">
        <v>236.8</v>
      </c>
      <c r="I13" s="1"/>
      <c r="J13" s="1">
        <v>78.400000000000006</v>
      </c>
      <c r="K13" s="1">
        <v>57.2</v>
      </c>
      <c r="L13" s="1">
        <v>89.9</v>
      </c>
      <c r="M13" s="1">
        <f t="shared" si="0"/>
        <v>68.239999999999995</v>
      </c>
      <c r="N13" s="1"/>
      <c r="O13" s="1"/>
      <c r="P13" s="1"/>
      <c r="Q13" s="1"/>
    </row>
    <row r="14" spans="1:17" x14ac:dyDescent="0.25">
      <c r="A14">
        <v>1983</v>
      </c>
      <c r="B14" s="1">
        <v>38</v>
      </c>
      <c r="C14" s="1">
        <v>50.4</v>
      </c>
      <c r="D14" s="1">
        <v>13.6</v>
      </c>
      <c r="E14" s="1">
        <v>62.4</v>
      </c>
      <c r="F14" s="1">
        <v>12.6</v>
      </c>
      <c r="G14" s="1">
        <v>14.5</v>
      </c>
      <c r="H14" s="1">
        <v>147.5</v>
      </c>
      <c r="I14" s="1"/>
      <c r="J14" s="1">
        <v>46.4</v>
      </c>
      <c r="K14" s="1">
        <v>15.2</v>
      </c>
      <c r="L14" s="1">
        <v>28.8</v>
      </c>
      <c r="M14" s="1">
        <f t="shared" si="0"/>
        <v>42.94</v>
      </c>
      <c r="N14" s="1"/>
      <c r="O14" s="1"/>
      <c r="P14" s="1"/>
      <c r="Q14" s="1"/>
    </row>
    <row r="15" spans="1:17" x14ac:dyDescent="0.25">
      <c r="A15">
        <v>1984</v>
      </c>
      <c r="B15" s="1">
        <v>33.630000000000003</v>
      </c>
      <c r="C15" s="1">
        <v>56</v>
      </c>
      <c r="D15" s="1">
        <v>62.4</v>
      </c>
      <c r="E15" s="1">
        <v>57.6</v>
      </c>
      <c r="F15" s="1">
        <v>21</v>
      </c>
      <c r="G15" s="1">
        <v>50.78</v>
      </c>
      <c r="H15" s="1">
        <v>105</v>
      </c>
      <c r="I15" s="1"/>
      <c r="J15" s="1">
        <v>97.5</v>
      </c>
      <c r="K15" s="1">
        <v>46.5</v>
      </c>
      <c r="L15" s="1">
        <v>34.5</v>
      </c>
      <c r="M15" s="1">
        <f t="shared" si="0"/>
        <v>56.491</v>
      </c>
      <c r="N15" s="1"/>
      <c r="O15" s="1"/>
      <c r="P15" s="1"/>
      <c r="Q15" s="1"/>
    </row>
    <row r="16" spans="1:17" x14ac:dyDescent="0.25">
      <c r="A16">
        <v>1985</v>
      </c>
      <c r="B16" s="1">
        <v>38</v>
      </c>
      <c r="C16" s="1">
        <v>78.790000000000006</v>
      </c>
      <c r="D16" s="1">
        <v>127.5</v>
      </c>
      <c r="E16" s="1">
        <v>121.6</v>
      </c>
      <c r="F16" s="1">
        <v>11.4</v>
      </c>
      <c r="G16" s="1">
        <v>34.840000000000003</v>
      </c>
      <c r="H16" s="1">
        <v>175</v>
      </c>
      <c r="I16" s="1"/>
      <c r="J16" s="1">
        <v>259.2</v>
      </c>
      <c r="K16" s="1">
        <v>68</v>
      </c>
      <c r="L16" s="1">
        <v>40</v>
      </c>
      <c r="M16" s="1">
        <f t="shared" si="0"/>
        <v>95.432999999999993</v>
      </c>
      <c r="N16" s="1"/>
      <c r="O16" s="1"/>
      <c r="P16" s="1"/>
      <c r="Q16" s="1"/>
    </row>
    <row r="17" spans="1:17" x14ac:dyDescent="0.25">
      <c r="A17">
        <v>1986</v>
      </c>
      <c r="B17" s="1">
        <v>34</v>
      </c>
      <c r="C17" s="1">
        <v>76.19</v>
      </c>
      <c r="D17" s="1">
        <v>34.200000000000003</v>
      </c>
      <c r="E17" s="1">
        <v>130</v>
      </c>
      <c r="F17" s="1">
        <v>8</v>
      </c>
      <c r="G17" s="1">
        <v>31</v>
      </c>
      <c r="H17" s="1">
        <v>153</v>
      </c>
      <c r="I17" s="1"/>
      <c r="J17" s="1">
        <v>132</v>
      </c>
      <c r="K17" s="1">
        <v>54</v>
      </c>
      <c r="L17" s="1">
        <v>52</v>
      </c>
      <c r="M17" s="1">
        <f t="shared" si="0"/>
        <v>70.438999999999993</v>
      </c>
      <c r="N17" s="1"/>
      <c r="O17" s="1"/>
      <c r="P17" s="1"/>
      <c r="Q17" s="1"/>
    </row>
    <row r="18" spans="1:17" x14ac:dyDescent="0.25">
      <c r="A18">
        <v>1987</v>
      </c>
      <c r="B18" s="1">
        <v>54</v>
      </c>
      <c r="C18" s="1">
        <v>72</v>
      </c>
      <c r="D18" s="1">
        <v>65</v>
      </c>
      <c r="E18" s="1">
        <v>104</v>
      </c>
      <c r="F18" s="1">
        <v>18</v>
      </c>
      <c r="G18" s="1">
        <v>46</v>
      </c>
      <c r="H18" s="1">
        <v>157</v>
      </c>
      <c r="I18" s="1"/>
      <c r="J18" s="1">
        <v>291</v>
      </c>
      <c r="K18" s="1">
        <v>57</v>
      </c>
      <c r="L18" s="1">
        <v>32</v>
      </c>
      <c r="M18" s="1">
        <f t="shared" si="0"/>
        <v>89.6</v>
      </c>
      <c r="N18" s="1"/>
      <c r="O18" s="1"/>
      <c r="P18" s="1"/>
      <c r="Q18" s="1"/>
    </row>
    <row r="19" spans="1:17" x14ac:dyDescent="0.25">
      <c r="A19">
        <v>1988</v>
      </c>
      <c r="B19" s="1">
        <v>44</v>
      </c>
      <c r="C19" s="1">
        <v>55</v>
      </c>
      <c r="D19" s="1">
        <v>96</v>
      </c>
      <c r="E19" s="1">
        <v>69</v>
      </c>
      <c r="F19" s="1">
        <v>14</v>
      </c>
      <c r="G19" s="1">
        <v>38</v>
      </c>
      <c r="H19" s="1">
        <v>177</v>
      </c>
      <c r="I19" s="1"/>
      <c r="J19" s="1">
        <v>235</v>
      </c>
      <c r="K19" s="1">
        <v>81</v>
      </c>
      <c r="L19" s="1">
        <v>81</v>
      </c>
      <c r="M19" s="1">
        <f t="shared" si="0"/>
        <v>89</v>
      </c>
      <c r="N19" s="1"/>
      <c r="O19" s="1"/>
      <c r="P19" s="1"/>
      <c r="Q19" s="1"/>
    </row>
    <row r="20" spans="1:17" x14ac:dyDescent="0.25">
      <c r="A20">
        <v>1989</v>
      </c>
      <c r="B20" s="1">
        <v>27</v>
      </c>
      <c r="C20" s="1">
        <v>0</v>
      </c>
      <c r="D20" s="1">
        <v>22</v>
      </c>
      <c r="E20" s="1">
        <v>88</v>
      </c>
      <c r="F20" s="1">
        <v>11</v>
      </c>
      <c r="G20" s="1">
        <v>20</v>
      </c>
      <c r="H20" s="1">
        <v>104</v>
      </c>
      <c r="I20" s="1"/>
      <c r="J20" s="1">
        <v>149</v>
      </c>
      <c r="K20" s="1">
        <v>61</v>
      </c>
      <c r="L20" s="1">
        <v>37</v>
      </c>
      <c r="M20" s="1">
        <f t="shared" si="0"/>
        <v>51.9</v>
      </c>
      <c r="N20" s="1"/>
      <c r="O20" s="1"/>
      <c r="P20" s="1"/>
      <c r="Q20" s="1"/>
    </row>
    <row r="21" spans="1:17" x14ac:dyDescent="0.25">
      <c r="A21">
        <v>1990</v>
      </c>
      <c r="B21" s="1">
        <v>39</v>
      </c>
      <c r="C21" s="1">
        <v>74</v>
      </c>
      <c r="D21" s="1">
        <v>75</v>
      </c>
      <c r="E21" s="1">
        <v>113</v>
      </c>
      <c r="F21" s="1">
        <v>20</v>
      </c>
      <c r="G21" s="1">
        <v>41</v>
      </c>
      <c r="H21" s="1">
        <v>191</v>
      </c>
      <c r="I21" s="1"/>
      <c r="J21" s="1">
        <v>192</v>
      </c>
      <c r="K21" s="1">
        <v>64</v>
      </c>
      <c r="L21" s="1">
        <v>65</v>
      </c>
      <c r="M21" s="1">
        <f t="shared" si="0"/>
        <v>87.4</v>
      </c>
      <c r="N21" s="1"/>
      <c r="O21" s="1"/>
      <c r="P21" s="1"/>
      <c r="Q21" s="1"/>
    </row>
    <row r="22" spans="1:17" x14ac:dyDescent="0.25">
      <c r="A22">
        <v>1991</v>
      </c>
      <c r="B22" s="1">
        <v>24</v>
      </c>
      <c r="C22" s="1">
        <v>41</v>
      </c>
      <c r="D22" s="1">
        <v>87</v>
      </c>
      <c r="E22" s="1">
        <v>126</v>
      </c>
      <c r="F22" s="1">
        <v>10</v>
      </c>
      <c r="G22" s="1">
        <v>22</v>
      </c>
      <c r="H22" s="1">
        <v>161</v>
      </c>
      <c r="I22" s="1"/>
      <c r="J22" s="1">
        <v>223</v>
      </c>
      <c r="K22" s="1">
        <v>77</v>
      </c>
      <c r="L22" s="1">
        <v>28</v>
      </c>
      <c r="M22" s="1">
        <f t="shared" si="0"/>
        <v>79.900000000000006</v>
      </c>
      <c r="N22" s="1"/>
      <c r="O22" s="1"/>
      <c r="P22" s="1"/>
      <c r="Q22" s="1"/>
    </row>
    <row r="23" spans="1:17" x14ac:dyDescent="0.25">
      <c r="A23">
        <v>1992</v>
      </c>
      <c r="B23" s="1">
        <v>33</v>
      </c>
      <c r="C23" s="1">
        <v>50</v>
      </c>
      <c r="D23" s="1">
        <v>88</v>
      </c>
      <c r="E23" s="1">
        <v>125</v>
      </c>
      <c r="F23" s="1">
        <v>31</v>
      </c>
      <c r="G23" s="1">
        <v>32</v>
      </c>
      <c r="H23" s="1">
        <v>162</v>
      </c>
      <c r="I23" s="1"/>
      <c r="J23" s="1">
        <v>152</v>
      </c>
      <c r="K23" s="1">
        <v>49</v>
      </c>
      <c r="L23" s="1">
        <v>29</v>
      </c>
      <c r="M23" s="1">
        <f t="shared" si="0"/>
        <v>75.099999999999994</v>
      </c>
      <c r="N23" s="1"/>
      <c r="O23" s="1"/>
      <c r="P23" s="1"/>
      <c r="Q23" s="1"/>
    </row>
    <row r="24" spans="1:17" x14ac:dyDescent="0.25">
      <c r="A24">
        <v>1993</v>
      </c>
      <c r="B24" s="1">
        <v>30</v>
      </c>
      <c r="C24" s="1">
        <v>124</v>
      </c>
      <c r="D24" s="1">
        <v>65</v>
      </c>
      <c r="E24" s="1">
        <v>133</v>
      </c>
      <c r="F24" s="1">
        <v>38</v>
      </c>
      <c r="G24" s="1">
        <v>41</v>
      </c>
      <c r="H24" s="1">
        <v>205</v>
      </c>
      <c r="I24" s="1"/>
      <c r="J24" s="1">
        <v>258</v>
      </c>
      <c r="K24" s="1">
        <v>96</v>
      </c>
      <c r="L24" s="1">
        <v>73</v>
      </c>
      <c r="M24" s="1">
        <f t="shared" si="0"/>
        <v>106.3</v>
      </c>
      <c r="N24" s="1"/>
      <c r="O24" s="1"/>
      <c r="P24" s="1"/>
      <c r="Q24" s="1"/>
    </row>
    <row r="25" spans="1:17" x14ac:dyDescent="0.25">
      <c r="A25">
        <v>1994</v>
      </c>
      <c r="B25" s="1">
        <v>36</v>
      </c>
      <c r="C25" s="1">
        <v>61</v>
      </c>
      <c r="D25" s="1">
        <v>73</v>
      </c>
      <c r="E25" s="1">
        <v>86</v>
      </c>
      <c r="F25" s="1">
        <v>19</v>
      </c>
      <c r="G25" s="1">
        <v>48</v>
      </c>
      <c r="H25" s="1">
        <v>146</v>
      </c>
      <c r="I25" s="1"/>
      <c r="J25" s="1">
        <v>246</v>
      </c>
      <c r="K25" s="1">
        <v>65</v>
      </c>
      <c r="L25" s="1">
        <v>52</v>
      </c>
      <c r="M25" s="1">
        <f t="shared" si="0"/>
        <v>83.2</v>
      </c>
      <c r="N25" s="1"/>
      <c r="O25" s="1"/>
      <c r="P25" s="1"/>
      <c r="Q25" s="1"/>
    </row>
    <row r="26" spans="1:17" x14ac:dyDescent="0.25">
      <c r="A26">
        <v>1995</v>
      </c>
      <c r="B26" s="1">
        <v>25</v>
      </c>
      <c r="C26" s="1">
        <v>50</v>
      </c>
      <c r="D26" s="1">
        <v>15</v>
      </c>
      <c r="E26" s="1">
        <v>62</v>
      </c>
      <c r="F26" s="1">
        <v>23</v>
      </c>
      <c r="G26" s="1">
        <v>26</v>
      </c>
      <c r="H26" s="1">
        <v>98</v>
      </c>
      <c r="I26" s="1"/>
      <c r="J26" s="1">
        <v>108</v>
      </c>
      <c r="K26" s="1">
        <v>14</v>
      </c>
      <c r="L26" s="1">
        <v>23</v>
      </c>
      <c r="M26" s="1">
        <f t="shared" si="0"/>
        <v>44.4</v>
      </c>
      <c r="N26" s="1"/>
      <c r="O26" s="1"/>
      <c r="P26" s="1"/>
      <c r="Q26" s="1"/>
    </row>
    <row r="27" spans="1:17" x14ac:dyDescent="0.25">
      <c r="A27">
        <v>1996</v>
      </c>
      <c r="B27" s="1">
        <v>21</v>
      </c>
      <c r="C27" s="1">
        <v>31</v>
      </c>
      <c r="D27" s="1">
        <v>41</v>
      </c>
      <c r="E27" s="1">
        <v>57</v>
      </c>
      <c r="F27" s="1">
        <v>19</v>
      </c>
      <c r="G27" s="1">
        <v>24</v>
      </c>
      <c r="H27" s="1">
        <v>63</v>
      </c>
      <c r="I27" s="1"/>
      <c r="J27" s="1">
        <v>160</v>
      </c>
      <c r="K27" s="1">
        <v>33</v>
      </c>
      <c r="L27" s="1">
        <v>5</v>
      </c>
      <c r="M27" s="1">
        <f t="shared" si="0"/>
        <v>45.4</v>
      </c>
      <c r="N27" s="1"/>
      <c r="O27" s="1"/>
      <c r="P27" s="1"/>
      <c r="Q27" s="1"/>
    </row>
    <row r="28" spans="1:17" x14ac:dyDescent="0.25">
      <c r="A28">
        <v>1997</v>
      </c>
      <c r="B28" s="1">
        <v>39</v>
      </c>
      <c r="C28" s="1">
        <v>78</v>
      </c>
      <c r="D28" s="1">
        <v>103</v>
      </c>
      <c r="E28" s="1">
        <v>130</v>
      </c>
      <c r="F28" s="1">
        <v>23</v>
      </c>
      <c r="G28" s="1">
        <v>20</v>
      </c>
      <c r="H28" s="1">
        <v>194</v>
      </c>
      <c r="I28" s="1"/>
      <c r="J28" s="1">
        <v>235</v>
      </c>
      <c r="K28" s="1">
        <v>56</v>
      </c>
      <c r="L28" s="1">
        <v>78</v>
      </c>
      <c r="M28" s="1">
        <f t="shared" si="0"/>
        <v>95.6</v>
      </c>
      <c r="N28" s="1"/>
      <c r="O28" s="1"/>
      <c r="P28" s="1"/>
      <c r="Q28" s="1"/>
    </row>
    <row r="29" spans="1:17" x14ac:dyDescent="0.25">
      <c r="A29">
        <v>1998</v>
      </c>
      <c r="B29" s="1">
        <v>46</v>
      </c>
      <c r="C29" s="1">
        <v>78</v>
      </c>
      <c r="D29" s="1">
        <v>109</v>
      </c>
      <c r="E29" s="1">
        <v>188</v>
      </c>
      <c r="F29" s="1">
        <v>26</v>
      </c>
      <c r="G29" s="1">
        <v>36</v>
      </c>
      <c r="H29" s="1">
        <v>316</v>
      </c>
      <c r="I29" s="1"/>
      <c r="J29" s="1">
        <v>448</v>
      </c>
      <c r="K29" s="1">
        <v>105</v>
      </c>
      <c r="L29" s="1">
        <v>161</v>
      </c>
      <c r="M29" s="1">
        <f t="shared" si="0"/>
        <v>151.30000000000001</v>
      </c>
      <c r="N29" s="1"/>
      <c r="O29" s="1"/>
      <c r="P29" s="1"/>
      <c r="Q29" s="1"/>
    </row>
    <row r="30" spans="1:17" x14ac:dyDescent="0.25">
      <c r="A30">
        <v>1999</v>
      </c>
      <c r="B30" s="1">
        <v>23</v>
      </c>
      <c r="C30" s="1">
        <v>81</v>
      </c>
      <c r="D30" s="1">
        <v>92</v>
      </c>
      <c r="E30" s="1">
        <v>160</v>
      </c>
      <c r="F30" s="1">
        <v>27</v>
      </c>
      <c r="G30" s="1">
        <v>14</v>
      </c>
      <c r="H30" s="1">
        <v>114</v>
      </c>
      <c r="I30" s="1"/>
      <c r="J30" s="1">
        <v>272</v>
      </c>
      <c r="K30" s="1">
        <v>29</v>
      </c>
      <c r="L30" s="1">
        <v>25</v>
      </c>
      <c r="M30" s="1">
        <f t="shared" si="0"/>
        <v>83.7</v>
      </c>
      <c r="N30" s="1"/>
      <c r="O30" s="1"/>
      <c r="P30" s="1"/>
      <c r="Q30" s="1"/>
    </row>
    <row r="31" spans="1:17" x14ac:dyDescent="0.25">
      <c r="A31">
        <v>2000</v>
      </c>
      <c r="B31" s="1">
        <v>36</v>
      </c>
      <c r="C31" s="1">
        <v>70</v>
      </c>
      <c r="D31" s="1">
        <v>50</v>
      </c>
      <c r="E31" s="1">
        <v>87</v>
      </c>
      <c r="F31" s="1">
        <v>11</v>
      </c>
      <c r="G31" s="1">
        <v>36</v>
      </c>
      <c r="H31" s="1">
        <v>155</v>
      </c>
      <c r="I31" s="1"/>
      <c r="J31" s="1">
        <v>140</v>
      </c>
      <c r="K31" s="1">
        <v>38</v>
      </c>
      <c r="L31" s="1">
        <v>51</v>
      </c>
      <c r="M31" s="1">
        <f t="shared" si="0"/>
        <v>67.400000000000006</v>
      </c>
      <c r="N31" s="1"/>
      <c r="O31" s="1"/>
      <c r="P31" s="1"/>
      <c r="Q31" s="1"/>
    </row>
    <row r="32" spans="1:17" x14ac:dyDescent="0.25">
      <c r="A32">
        <v>2001</v>
      </c>
      <c r="B32" s="1">
        <v>53</v>
      </c>
      <c r="C32" s="1">
        <v>78</v>
      </c>
      <c r="D32" s="1">
        <v>136</v>
      </c>
      <c r="E32" s="1">
        <v>261</v>
      </c>
      <c r="F32" s="1">
        <v>34</v>
      </c>
      <c r="G32" s="1">
        <v>22</v>
      </c>
      <c r="H32" s="1">
        <v>294</v>
      </c>
      <c r="I32" s="1"/>
      <c r="J32" s="1">
        <v>464</v>
      </c>
      <c r="K32" s="1">
        <v>134</v>
      </c>
      <c r="L32" s="1">
        <v>132</v>
      </c>
      <c r="M32" s="1">
        <f t="shared" si="0"/>
        <v>160.80000000000001</v>
      </c>
      <c r="N32" s="1"/>
      <c r="O32" s="1"/>
      <c r="P32" s="1"/>
      <c r="Q32" s="1"/>
    </row>
    <row r="33" spans="1:17" x14ac:dyDescent="0.25">
      <c r="A33">
        <v>2002</v>
      </c>
      <c r="B33" s="1">
        <v>24</v>
      </c>
      <c r="C33" s="1">
        <v>27</v>
      </c>
      <c r="D33" s="1">
        <v>48</v>
      </c>
      <c r="E33" s="1">
        <v>81</v>
      </c>
      <c r="F33" s="1">
        <v>16</v>
      </c>
      <c r="G33" s="1">
        <v>0</v>
      </c>
      <c r="H33" s="1">
        <v>96</v>
      </c>
      <c r="I33" s="1"/>
      <c r="J33" s="1">
        <v>108</v>
      </c>
      <c r="K33" s="1">
        <v>26</v>
      </c>
      <c r="L33" s="1">
        <v>23</v>
      </c>
      <c r="M33" s="1">
        <f t="shared" si="0"/>
        <v>44.9</v>
      </c>
      <c r="N33" s="1"/>
      <c r="O33" s="1"/>
      <c r="P33" s="1"/>
      <c r="Q33" s="1"/>
    </row>
    <row r="34" spans="1:17" x14ac:dyDescent="0.25">
      <c r="A34">
        <v>2003</v>
      </c>
      <c r="B34" s="1">
        <v>30</v>
      </c>
      <c r="C34" s="1">
        <v>41</v>
      </c>
      <c r="D34" s="1">
        <v>86</v>
      </c>
      <c r="E34" s="1">
        <v>84</v>
      </c>
      <c r="F34" s="1">
        <v>46</v>
      </c>
      <c r="G34" s="1">
        <v>36</v>
      </c>
      <c r="H34" s="1">
        <v>266</v>
      </c>
      <c r="I34" s="1"/>
      <c r="J34" s="1">
        <v>635</v>
      </c>
      <c r="K34" s="1">
        <v>38</v>
      </c>
      <c r="L34" s="1">
        <v>73</v>
      </c>
      <c r="M34" s="1">
        <f t="shared" si="0"/>
        <v>133.5</v>
      </c>
      <c r="N34" s="1"/>
      <c r="O34" s="1"/>
      <c r="P34" s="1"/>
      <c r="Q34" s="1"/>
    </row>
    <row r="35" spans="1:17" x14ac:dyDescent="0.25">
      <c r="A35">
        <v>2004</v>
      </c>
      <c r="B35" s="1">
        <v>52</v>
      </c>
      <c r="C35" s="1">
        <v>99</v>
      </c>
      <c r="D35" s="1">
        <v>22</v>
      </c>
      <c r="E35" s="1">
        <v>102</v>
      </c>
      <c r="F35" s="1">
        <v>44</v>
      </c>
      <c r="G35" s="1">
        <v>0</v>
      </c>
      <c r="H35" s="1">
        <v>140</v>
      </c>
      <c r="I35" s="1"/>
      <c r="J35" s="1">
        <v>242</v>
      </c>
      <c r="K35" s="1">
        <v>46</v>
      </c>
      <c r="L35" s="1">
        <v>60</v>
      </c>
      <c r="M35" s="1">
        <f t="shared" si="0"/>
        <v>80.7</v>
      </c>
      <c r="N35" s="1"/>
      <c r="O35" s="1"/>
      <c r="P35" s="1"/>
      <c r="Q35" s="1"/>
    </row>
    <row r="36" spans="1:17" x14ac:dyDescent="0.25">
      <c r="A36">
        <v>2005</v>
      </c>
      <c r="B36" s="1">
        <v>25</v>
      </c>
      <c r="C36" s="1">
        <v>18</v>
      </c>
      <c r="D36" s="1">
        <v>53</v>
      </c>
      <c r="E36" s="1">
        <v>102</v>
      </c>
      <c r="F36" s="1">
        <v>10</v>
      </c>
      <c r="G36" s="1">
        <v>26</v>
      </c>
      <c r="H36" s="1">
        <v>129</v>
      </c>
      <c r="I36" s="1"/>
      <c r="J36" s="1">
        <v>112</v>
      </c>
      <c r="K36" s="1">
        <v>30</v>
      </c>
      <c r="L36" s="1">
        <v>21</v>
      </c>
      <c r="M36" s="1">
        <f t="shared" si="0"/>
        <v>52.6</v>
      </c>
      <c r="N36" s="1"/>
      <c r="O36" s="1"/>
      <c r="P36" s="1"/>
      <c r="Q36" s="1"/>
    </row>
    <row r="37" spans="1:17" x14ac:dyDescent="0.25">
      <c r="A37">
        <v>2006</v>
      </c>
      <c r="B37" s="1">
        <v>23</v>
      </c>
      <c r="C37" s="1">
        <v>38</v>
      </c>
      <c r="D37" s="1">
        <v>42</v>
      </c>
      <c r="E37" s="1">
        <v>126</v>
      </c>
      <c r="F37" s="1">
        <v>20</v>
      </c>
      <c r="G37" s="1">
        <v>27</v>
      </c>
      <c r="H37" s="1">
        <v>221</v>
      </c>
      <c r="I37" s="1"/>
      <c r="J37" s="1">
        <v>360</v>
      </c>
      <c r="K37" s="1">
        <v>76</v>
      </c>
      <c r="L37" s="1">
        <v>48</v>
      </c>
      <c r="M37" s="1">
        <f t="shared" si="0"/>
        <v>98.1</v>
      </c>
      <c r="N37" s="1"/>
      <c r="O37" s="1"/>
      <c r="P37" s="1"/>
      <c r="Q37" s="1"/>
    </row>
    <row r="38" spans="1:17" x14ac:dyDescent="0.25">
      <c r="A38">
        <v>2007</v>
      </c>
      <c r="B38" s="1">
        <v>31</v>
      </c>
      <c r="C38" s="1">
        <v>55</v>
      </c>
      <c r="D38" s="1">
        <v>48</v>
      </c>
      <c r="E38" s="1">
        <v>122</v>
      </c>
      <c r="F38" s="1">
        <v>18</v>
      </c>
      <c r="G38" s="1">
        <v>0</v>
      </c>
      <c r="H38" s="1">
        <v>205</v>
      </c>
      <c r="I38" s="1"/>
      <c r="J38" s="1">
        <v>224</v>
      </c>
      <c r="K38" s="1">
        <v>46</v>
      </c>
      <c r="L38" s="1">
        <v>51</v>
      </c>
      <c r="M38" s="1">
        <f t="shared" si="0"/>
        <v>80</v>
      </c>
      <c r="N38" s="1"/>
      <c r="O38" s="1"/>
      <c r="P38" s="1"/>
      <c r="Q38" s="1"/>
    </row>
    <row r="39" spans="1:17" x14ac:dyDescent="0.25">
      <c r="A39">
        <v>2008</v>
      </c>
      <c r="B39" s="1">
        <v>27</v>
      </c>
      <c r="C39" s="1">
        <v>60</v>
      </c>
      <c r="D39" s="1">
        <v>50</v>
      </c>
      <c r="E39" s="1">
        <v>96</v>
      </c>
      <c r="F39" s="1">
        <v>34</v>
      </c>
      <c r="G39" s="1">
        <v>17</v>
      </c>
      <c r="H39" s="1">
        <v>205</v>
      </c>
      <c r="I39" s="1"/>
      <c r="J39" s="1">
        <v>186</v>
      </c>
      <c r="K39" s="1">
        <v>74</v>
      </c>
      <c r="L39" s="1">
        <v>70</v>
      </c>
      <c r="M39" s="1">
        <f t="shared" si="0"/>
        <v>81.900000000000006</v>
      </c>
      <c r="N39" s="1"/>
      <c r="O39" s="1"/>
      <c r="P39" s="1"/>
      <c r="Q39" s="1"/>
    </row>
    <row r="40" spans="1:17" x14ac:dyDescent="0.25">
      <c r="A40">
        <v>2009</v>
      </c>
      <c r="B40" s="1">
        <v>27</v>
      </c>
      <c r="C40" s="1">
        <v>60</v>
      </c>
      <c r="D40" s="1">
        <v>60</v>
      </c>
      <c r="E40" s="1">
        <v>180</v>
      </c>
      <c r="F40" s="1">
        <v>25</v>
      </c>
      <c r="G40" s="1">
        <v>17</v>
      </c>
      <c r="H40" s="1">
        <v>214</v>
      </c>
      <c r="I40" s="1">
        <v>41</v>
      </c>
      <c r="J40" s="1">
        <v>237</v>
      </c>
      <c r="K40" s="1">
        <v>106</v>
      </c>
      <c r="L40" s="1">
        <v>104</v>
      </c>
      <c r="M40" s="1">
        <f t="shared" si="0"/>
        <v>97.36363636363636</v>
      </c>
      <c r="N40" s="1"/>
      <c r="O40" s="1"/>
      <c r="P40" s="1"/>
      <c r="Q40" s="1"/>
    </row>
    <row r="41" spans="1:17" x14ac:dyDescent="0.25">
      <c r="A41">
        <v>2010</v>
      </c>
      <c r="B41" s="1">
        <v>66</v>
      </c>
      <c r="C41" s="1">
        <v>78</v>
      </c>
      <c r="D41" s="1">
        <v>213</v>
      </c>
      <c r="E41" s="1">
        <v>88</v>
      </c>
      <c r="F41" s="1">
        <v>44</v>
      </c>
      <c r="G41" s="1">
        <v>42</v>
      </c>
      <c r="H41" s="1">
        <v>348</v>
      </c>
      <c r="I41" s="1">
        <v>61</v>
      </c>
      <c r="J41" s="1">
        <v>535</v>
      </c>
      <c r="K41" s="1">
        <v>120</v>
      </c>
      <c r="L41" s="1">
        <v>150</v>
      </c>
      <c r="M41" s="1">
        <f t="shared" si="0"/>
        <v>158.63636363636363</v>
      </c>
      <c r="N41" s="1"/>
      <c r="O41" s="1"/>
      <c r="P41" s="1"/>
      <c r="Q41" s="1"/>
    </row>
    <row r="42" spans="1:17" x14ac:dyDescent="0.25">
      <c r="A42">
        <v>2011</v>
      </c>
      <c r="B42" s="1">
        <v>86</v>
      </c>
      <c r="C42" s="1">
        <v>42</v>
      </c>
      <c r="D42" s="1">
        <v>77</v>
      </c>
      <c r="E42" s="1">
        <v>206</v>
      </c>
      <c r="F42" s="1">
        <v>31</v>
      </c>
      <c r="G42" s="1">
        <v>23</v>
      </c>
      <c r="H42" s="1">
        <v>198</v>
      </c>
      <c r="I42" s="1">
        <v>40</v>
      </c>
      <c r="J42" s="1">
        <v>101</v>
      </c>
      <c r="K42" s="1">
        <v>78</v>
      </c>
      <c r="L42" s="1">
        <v>132</v>
      </c>
      <c r="M42" s="1">
        <f t="shared" si="0"/>
        <v>92.181818181818187</v>
      </c>
      <c r="N42" s="1"/>
      <c r="O42" s="1"/>
      <c r="P42" s="1"/>
      <c r="Q42" s="1"/>
    </row>
    <row r="43" spans="1:17" x14ac:dyDescent="0.25">
      <c r="A43">
        <v>2012</v>
      </c>
      <c r="B43" s="1">
        <v>36</v>
      </c>
      <c r="C43" s="1">
        <v>53</v>
      </c>
      <c r="D43" s="1">
        <v>18</v>
      </c>
      <c r="E43" s="1">
        <v>176</v>
      </c>
      <c r="F43" s="1">
        <v>26</v>
      </c>
      <c r="G43" s="1">
        <v>50</v>
      </c>
      <c r="H43" s="1">
        <v>122</v>
      </c>
      <c r="I43" s="1">
        <v>46</v>
      </c>
      <c r="J43" s="1">
        <v>156</v>
      </c>
      <c r="K43" s="1">
        <v>56</v>
      </c>
      <c r="L43" s="1">
        <v>78</v>
      </c>
      <c r="M43" s="1">
        <f t="shared" si="0"/>
        <v>74.272727272727266</v>
      </c>
      <c r="N43" s="1"/>
      <c r="O43" s="1"/>
      <c r="P43" s="1"/>
      <c r="Q43" s="1"/>
    </row>
    <row r="44" spans="1:17" x14ac:dyDescent="0.25">
      <c r="A44">
        <v>2013</v>
      </c>
      <c r="B44" s="1">
        <v>42</v>
      </c>
      <c r="C44" s="1">
        <v>164</v>
      </c>
      <c r="D44" s="1">
        <v>106</v>
      </c>
      <c r="E44" s="1">
        <v>230</v>
      </c>
      <c r="F44" s="1">
        <v>14</v>
      </c>
      <c r="G44" s="1">
        <v>29</v>
      </c>
      <c r="H44" s="1">
        <v>369</v>
      </c>
      <c r="I44" s="1">
        <v>47</v>
      </c>
      <c r="J44" s="1">
        <v>377</v>
      </c>
      <c r="K44" s="1">
        <v>148</v>
      </c>
      <c r="L44" s="1">
        <v>158</v>
      </c>
      <c r="M44" s="1">
        <f t="shared" si="0"/>
        <v>153.09090909090909</v>
      </c>
      <c r="N44" s="1"/>
      <c r="O44" s="1"/>
      <c r="P44" s="1"/>
      <c r="Q44" s="1"/>
    </row>
    <row r="45" spans="1:17" x14ac:dyDescent="0.25">
      <c r="A45">
        <v>2014</v>
      </c>
      <c r="B45" s="1">
        <v>26</v>
      </c>
      <c r="C45" s="1">
        <v>205</v>
      </c>
      <c r="D45" s="1">
        <v>76</v>
      </c>
      <c r="E45" s="1">
        <v>112</v>
      </c>
      <c r="F45" s="1">
        <v>20</v>
      </c>
      <c r="G45" s="1">
        <v>25</v>
      </c>
      <c r="H45" s="1">
        <v>184</v>
      </c>
      <c r="I45" s="1">
        <v>56</v>
      </c>
      <c r="J45" s="1">
        <v>299</v>
      </c>
      <c r="K45" s="1">
        <v>61</v>
      </c>
      <c r="L45" s="1">
        <v>71</v>
      </c>
      <c r="M45" s="1">
        <f t="shared" si="0"/>
        <v>103.18181818181819</v>
      </c>
      <c r="N45" s="1"/>
      <c r="O45" s="1"/>
      <c r="P45" s="1"/>
      <c r="Q45" s="1"/>
    </row>
    <row r="46" spans="1:17" x14ac:dyDescent="0.25">
      <c r="A46">
        <v>2015</v>
      </c>
      <c r="B46" s="1">
        <v>46</v>
      </c>
      <c r="C46" s="1">
        <v>98</v>
      </c>
      <c r="D46" s="1">
        <v>118</v>
      </c>
      <c r="E46" s="1">
        <v>140</v>
      </c>
      <c r="F46" s="1">
        <v>26</v>
      </c>
      <c r="G46" s="1">
        <v>33</v>
      </c>
      <c r="H46" s="1">
        <v>176</v>
      </c>
      <c r="I46" s="1">
        <v>63</v>
      </c>
      <c r="J46" s="1">
        <v>255</v>
      </c>
      <c r="K46" s="1">
        <v>67</v>
      </c>
      <c r="L46" s="1">
        <v>42</v>
      </c>
      <c r="M46" s="1">
        <f t="shared" si="0"/>
        <v>96.727272727272734</v>
      </c>
      <c r="N46" s="1"/>
      <c r="O46" s="1"/>
      <c r="P46" s="1"/>
      <c r="Q46" s="1"/>
    </row>
    <row r="47" spans="1:17" x14ac:dyDescent="0.25">
      <c r="A47">
        <v>2016</v>
      </c>
      <c r="B47" s="1">
        <v>59</v>
      </c>
      <c r="C47" s="1">
        <v>175</v>
      </c>
      <c r="D47" s="1">
        <v>104</v>
      </c>
      <c r="E47" s="1">
        <v>140</v>
      </c>
      <c r="F47" s="1">
        <v>34</v>
      </c>
      <c r="G47" s="1">
        <v>24</v>
      </c>
      <c r="H47" s="1">
        <v>310</v>
      </c>
      <c r="I47" s="1">
        <v>33</v>
      </c>
      <c r="J47" s="1">
        <v>315</v>
      </c>
      <c r="K47" s="1">
        <v>148</v>
      </c>
      <c r="L47" s="1">
        <v>58</v>
      </c>
      <c r="M47" s="1">
        <f t="shared" si="0"/>
        <v>127.27272727272727</v>
      </c>
      <c r="N47" s="1"/>
      <c r="O47" s="1"/>
      <c r="P47" s="1"/>
      <c r="Q47" s="1"/>
    </row>
    <row r="48" spans="1:17" x14ac:dyDescent="0.25">
      <c r="A48">
        <v>2017</v>
      </c>
      <c r="B48" s="1">
        <v>63</v>
      </c>
      <c r="C48" s="1">
        <v>70</v>
      </c>
      <c r="D48" s="1">
        <v>95</v>
      </c>
      <c r="E48" s="1">
        <v>165</v>
      </c>
      <c r="F48" s="1">
        <v>13</v>
      </c>
      <c r="G48" s="1">
        <v>42</v>
      </c>
      <c r="H48" s="1">
        <v>221</v>
      </c>
      <c r="I48" s="1">
        <v>56</v>
      </c>
      <c r="J48" s="1">
        <v>388</v>
      </c>
      <c r="K48" s="1">
        <v>43</v>
      </c>
      <c r="L48" s="1">
        <v>57</v>
      </c>
      <c r="M48" s="1">
        <f t="shared" si="0"/>
        <v>110.27272727272727</v>
      </c>
      <c r="N48" s="1"/>
      <c r="O48" s="1"/>
      <c r="P48" s="1"/>
      <c r="Q48" s="1"/>
    </row>
    <row r="49" spans="1:17" x14ac:dyDescent="0.25">
      <c r="A49">
        <v>2018</v>
      </c>
      <c r="B49" s="1">
        <v>0</v>
      </c>
      <c r="C49" s="1">
        <v>54</v>
      </c>
      <c r="D49" s="1">
        <v>36</v>
      </c>
      <c r="E49" s="1">
        <v>65</v>
      </c>
      <c r="F49" s="1">
        <v>13</v>
      </c>
      <c r="G49" s="1">
        <v>36</v>
      </c>
      <c r="H49" s="1">
        <v>70</v>
      </c>
      <c r="I49" s="1">
        <v>35</v>
      </c>
      <c r="J49" s="1">
        <v>129</v>
      </c>
      <c r="K49" s="1">
        <v>37</v>
      </c>
      <c r="L49" s="1">
        <v>78</v>
      </c>
      <c r="M49" s="1">
        <f t="shared" si="0"/>
        <v>50.272727272727273</v>
      </c>
      <c r="N49" s="1"/>
      <c r="O49" s="1"/>
      <c r="P49" s="1"/>
      <c r="Q49" s="1"/>
    </row>
    <row r="50" spans="1:17" x14ac:dyDescent="0.25">
      <c r="A50">
        <v>2019</v>
      </c>
      <c r="B50" s="1">
        <v>42</v>
      </c>
      <c r="C50" s="1">
        <v>138</v>
      </c>
      <c r="D50" s="1">
        <v>69</v>
      </c>
      <c r="E50" s="1">
        <v>122</v>
      </c>
      <c r="F50" s="1">
        <v>26</v>
      </c>
      <c r="G50" s="1">
        <v>28</v>
      </c>
      <c r="H50" s="1">
        <v>149</v>
      </c>
      <c r="I50" s="1">
        <v>42</v>
      </c>
      <c r="J50" s="1">
        <v>223</v>
      </c>
      <c r="K50" s="1">
        <v>33</v>
      </c>
      <c r="L50" s="1">
        <v>118</v>
      </c>
      <c r="M50" s="1">
        <f t="shared" si="0"/>
        <v>90</v>
      </c>
      <c r="N50" s="1"/>
      <c r="O50" s="1"/>
      <c r="P50" s="1"/>
      <c r="Q50" s="1"/>
    </row>
    <row r="51" spans="1:17" x14ac:dyDescent="0.25">
      <c r="A51">
        <v>2020</v>
      </c>
      <c r="B51" s="1">
        <v>39</v>
      </c>
      <c r="C51" s="1">
        <v>109</v>
      </c>
      <c r="D51" s="1">
        <v>52</v>
      </c>
      <c r="E51" s="1">
        <v>125</v>
      </c>
      <c r="F51" s="1">
        <v>23</v>
      </c>
      <c r="G51" s="1">
        <v>25</v>
      </c>
      <c r="H51" s="1">
        <v>237</v>
      </c>
      <c r="I51" s="1">
        <v>73</v>
      </c>
      <c r="J51" s="1">
        <v>208</v>
      </c>
      <c r="K51" s="1">
        <v>84</v>
      </c>
      <c r="L51" s="1">
        <v>157</v>
      </c>
      <c r="M51" s="1">
        <f t="shared" si="0"/>
        <v>102.90909090909091</v>
      </c>
      <c r="N51" s="1"/>
      <c r="O51" s="1"/>
      <c r="P51" s="1"/>
      <c r="Q51" s="1"/>
    </row>
    <row r="52" spans="1:17" x14ac:dyDescent="0.25">
      <c r="A52">
        <v>2021</v>
      </c>
      <c r="B52" s="1">
        <v>32</v>
      </c>
      <c r="C52" s="1">
        <v>65</v>
      </c>
      <c r="D52" s="1">
        <v>37</v>
      </c>
      <c r="E52" s="1">
        <v>79</v>
      </c>
      <c r="F52" s="1">
        <v>16</v>
      </c>
      <c r="G52" s="1">
        <v>43</v>
      </c>
      <c r="H52" s="1">
        <v>153</v>
      </c>
      <c r="I52" s="1">
        <v>44</v>
      </c>
      <c r="J52" s="1">
        <v>172</v>
      </c>
      <c r="K52" s="1">
        <v>51</v>
      </c>
      <c r="L52" s="1">
        <v>105</v>
      </c>
      <c r="M52" s="1">
        <f t="shared" si="0"/>
        <v>72.454545454545453</v>
      </c>
      <c r="N52" s="1"/>
      <c r="O52" s="1"/>
      <c r="P52" s="1"/>
      <c r="Q52" s="1"/>
    </row>
    <row r="53" spans="1:17" x14ac:dyDescent="0.25">
      <c r="A53">
        <v>2022</v>
      </c>
      <c r="B53" s="1">
        <v>35</v>
      </c>
      <c r="C53" s="1">
        <v>75</v>
      </c>
      <c r="D53" s="1">
        <v>16</v>
      </c>
      <c r="E53" s="1">
        <v>98</v>
      </c>
      <c r="F53" s="1">
        <v>13</v>
      </c>
      <c r="G53" s="1">
        <v>28</v>
      </c>
      <c r="H53" s="1">
        <v>137</v>
      </c>
      <c r="I53" s="1">
        <v>25</v>
      </c>
      <c r="J53" s="1">
        <v>182</v>
      </c>
      <c r="K53" s="1">
        <v>41</v>
      </c>
      <c r="L53" s="1">
        <v>122</v>
      </c>
      <c r="M53" s="1">
        <f t="shared" si="0"/>
        <v>70.181818181818187</v>
      </c>
      <c r="N53" s="1"/>
      <c r="O53" s="1"/>
      <c r="P53" s="1"/>
      <c r="Q53" s="1"/>
    </row>
    <row r="54" spans="1:17" x14ac:dyDescent="0.25">
      <c r="A54">
        <v>2023</v>
      </c>
      <c r="B54" s="1">
        <v>44</v>
      </c>
      <c r="C54" s="1">
        <v>101</v>
      </c>
      <c r="D54" s="1">
        <v>86</v>
      </c>
      <c r="E54" s="1">
        <v>283</v>
      </c>
      <c r="F54" s="1">
        <v>16</v>
      </c>
      <c r="G54" s="1">
        <v>28</v>
      </c>
      <c r="H54" s="1">
        <v>255</v>
      </c>
      <c r="I54" s="1">
        <v>56</v>
      </c>
      <c r="J54" s="1">
        <v>235</v>
      </c>
      <c r="K54" s="1">
        <v>83</v>
      </c>
      <c r="L54" s="1">
        <v>211</v>
      </c>
      <c r="M54" s="1">
        <f t="shared" si="0"/>
        <v>127.09090909090909</v>
      </c>
      <c r="N54" s="1"/>
      <c r="O54" s="1"/>
      <c r="P54" s="1"/>
      <c r="Q54" s="1"/>
    </row>
    <row r="55" spans="1:17" x14ac:dyDescent="0.25">
      <c r="A55">
        <v>2024</v>
      </c>
      <c r="B55" s="1">
        <v>31</v>
      </c>
      <c r="C55" s="1">
        <v>51</v>
      </c>
      <c r="D55" s="1">
        <v>16</v>
      </c>
      <c r="E55" s="1">
        <v>104</v>
      </c>
      <c r="F55" s="1">
        <v>48</v>
      </c>
      <c r="G55" s="1">
        <v>28</v>
      </c>
      <c r="H55" s="1">
        <v>188</v>
      </c>
      <c r="I55" s="1">
        <v>42</v>
      </c>
      <c r="J55" s="1">
        <v>163</v>
      </c>
      <c r="K55" s="1">
        <v>44</v>
      </c>
      <c r="L55" s="1">
        <v>108</v>
      </c>
      <c r="M55" s="1">
        <f t="shared" si="0"/>
        <v>74.818181818181813</v>
      </c>
      <c r="N55" s="1"/>
      <c r="O55" s="1"/>
      <c r="P55" s="1"/>
      <c r="Q55" s="1"/>
    </row>
    <row r="56" spans="1:17" x14ac:dyDescent="0.25">
      <c r="A56">
        <v>2025</v>
      </c>
      <c r="B56" s="1">
        <v>35</v>
      </c>
      <c r="C56" s="1">
        <v>96</v>
      </c>
      <c r="D56" s="1">
        <v>52</v>
      </c>
      <c r="E56" s="1">
        <v>89</v>
      </c>
      <c r="F56" s="1">
        <v>12</v>
      </c>
      <c r="G56" s="1">
        <v>11</v>
      </c>
      <c r="H56" s="1">
        <v>234</v>
      </c>
      <c r="I56" s="1">
        <v>28</v>
      </c>
      <c r="J56" s="1">
        <v>306</v>
      </c>
      <c r="K56" s="1">
        <v>45</v>
      </c>
      <c r="L56" s="1">
        <v>47</v>
      </c>
      <c r="M56" s="1">
        <f t="shared" si="0"/>
        <v>86.818181818181813</v>
      </c>
      <c r="N56" s="1"/>
      <c r="O56" s="1"/>
      <c r="P56" s="1"/>
      <c r="Q56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6"/>
  <sheetViews>
    <sheetView workbookViewId="0">
      <selection activeCell="P1" sqref="P1"/>
    </sheetView>
  </sheetViews>
  <sheetFormatPr defaultRowHeight="15" x14ac:dyDescent="0.25"/>
  <sheetData>
    <row r="1" spans="1:16" ht="75" x14ac:dyDescent="0.25"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  <c r="P1" s="3" t="s">
        <v>213</v>
      </c>
    </row>
    <row r="2" spans="1:16" x14ac:dyDescent="0.25">
      <c r="A2">
        <v>1971</v>
      </c>
      <c r="B2" s="1">
        <v>64</v>
      </c>
      <c r="C2" s="1">
        <v>31</v>
      </c>
      <c r="D2" s="1"/>
      <c r="E2" s="1">
        <v>86</v>
      </c>
      <c r="F2" s="1">
        <v>144</v>
      </c>
      <c r="G2" s="1"/>
      <c r="H2" s="1">
        <v>54</v>
      </c>
      <c r="I2" s="1">
        <v>24</v>
      </c>
      <c r="J2" s="1">
        <v>36</v>
      </c>
      <c r="K2" s="1">
        <v>112</v>
      </c>
      <c r="L2" s="1">
        <v>67</v>
      </c>
      <c r="M2" s="1">
        <v>75</v>
      </c>
      <c r="N2" s="1"/>
      <c r="O2" s="1">
        <v>70</v>
      </c>
      <c r="P2" s="1">
        <f>AVERAGE(B2:O2)</f>
        <v>69.36363636363636</v>
      </c>
    </row>
    <row r="3" spans="1:16" x14ac:dyDescent="0.25">
      <c r="A3">
        <v>1972</v>
      </c>
      <c r="B3" s="1">
        <v>63</v>
      </c>
      <c r="C3" s="1">
        <v>37</v>
      </c>
      <c r="D3" s="1"/>
      <c r="E3" s="1">
        <v>73</v>
      </c>
      <c r="F3" s="1">
        <v>121</v>
      </c>
      <c r="G3" s="1"/>
      <c r="H3" s="1">
        <v>78</v>
      </c>
      <c r="I3" s="1">
        <v>53</v>
      </c>
      <c r="J3" s="1">
        <v>53</v>
      </c>
      <c r="K3" s="1">
        <v>115</v>
      </c>
      <c r="L3" s="1">
        <v>42</v>
      </c>
      <c r="M3" s="1">
        <v>82</v>
      </c>
      <c r="N3" s="1"/>
      <c r="O3" s="1">
        <v>36</v>
      </c>
      <c r="P3" s="1">
        <f t="shared" ref="P3:P56" si="0">AVERAGE(B3:O3)</f>
        <v>68.454545454545453</v>
      </c>
    </row>
    <row r="4" spans="1:16" x14ac:dyDescent="0.25">
      <c r="A4">
        <v>1973</v>
      </c>
      <c r="B4" s="1">
        <v>102</v>
      </c>
      <c r="C4" s="1">
        <v>39</v>
      </c>
      <c r="D4" s="1"/>
      <c r="E4" s="1">
        <v>97</v>
      </c>
      <c r="F4" s="1">
        <v>159</v>
      </c>
      <c r="G4" s="1"/>
      <c r="H4" s="1">
        <v>80</v>
      </c>
      <c r="I4" s="1">
        <v>32</v>
      </c>
      <c r="J4" s="1">
        <v>82</v>
      </c>
      <c r="K4" s="1">
        <v>105</v>
      </c>
      <c r="L4" s="1">
        <v>52</v>
      </c>
      <c r="M4" s="1">
        <v>133</v>
      </c>
      <c r="N4" s="1"/>
      <c r="O4" s="1">
        <v>73</v>
      </c>
      <c r="P4" s="1">
        <f t="shared" si="0"/>
        <v>86.727272727272734</v>
      </c>
    </row>
    <row r="5" spans="1:16" x14ac:dyDescent="0.25">
      <c r="A5">
        <v>1974</v>
      </c>
      <c r="B5" s="1">
        <v>75</v>
      </c>
      <c r="C5" s="1">
        <v>25</v>
      </c>
      <c r="D5" s="1"/>
      <c r="E5" s="1">
        <v>57</v>
      </c>
      <c r="F5" s="1">
        <v>126</v>
      </c>
      <c r="G5" s="1">
        <v>70</v>
      </c>
      <c r="H5" s="1">
        <v>78</v>
      </c>
      <c r="I5" s="1">
        <v>20</v>
      </c>
      <c r="J5" s="1">
        <v>33</v>
      </c>
      <c r="K5" s="1">
        <v>86</v>
      </c>
      <c r="L5" s="1">
        <v>30</v>
      </c>
      <c r="M5" s="1">
        <v>75</v>
      </c>
      <c r="N5" s="1"/>
      <c r="O5" s="1">
        <v>45</v>
      </c>
      <c r="P5" s="1">
        <f t="shared" si="0"/>
        <v>60</v>
      </c>
    </row>
    <row r="6" spans="1:16" x14ac:dyDescent="0.25">
      <c r="A6">
        <v>1975</v>
      </c>
      <c r="B6" s="1">
        <v>96</v>
      </c>
      <c r="C6" s="1">
        <v>21</v>
      </c>
      <c r="D6" s="1"/>
      <c r="E6" s="1">
        <v>59</v>
      </c>
      <c r="F6" s="1">
        <v>136</v>
      </c>
      <c r="G6" s="1">
        <v>77</v>
      </c>
      <c r="H6" s="1">
        <v>44</v>
      </c>
      <c r="I6" s="1">
        <v>21</v>
      </c>
      <c r="J6" s="1">
        <v>66</v>
      </c>
      <c r="K6" s="1">
        <v>143</v>
      </c>
      <c r="L6" s="1">
        <v>32</v>
      </c>
      <c r="M6" s="1">
        <v>86</v>
      </c>
      <c r="N6" s="1"/>
      <c r="O6" s="1">
        <v>40</v>
      </c>
      <c r="P6" s="1">
        <f t="shared" si="0"/>
        <v>68.416666666666671</v>
      </c>
    </row>
    <row r="7" spans="1:16" x14ac:dyDescent="0.25">
      <c r="A7">
        <v>1976</v>
      </c>
      <c r="B7" s="1">
        <v>99</v>
      </c>
      <c r="C7" s="1">
        <v>42</v>
      </c>
      <c r="D7" s="1"/>
      <c r="E7" s="1">
        <v>82</v>
      </c>
      <c r="F7" s="1">
        <v>149</v>
      </c>
      <c r="G7" s="1">
        <v>92</v>
      </c>
      <c r="H7" s="1">
        <v>60</v>
      </c>
      <c r="I7" s="1">
        <v>28</v>
      </c>
      <c r="J7" s="1">
        <v>35</v>
      </c>
      <c r="K7" s="1">
        <v>78</v>
      </c>
      <c r="L7" s="1">
        <v>24</v>
      </c>
      <c r="M7" s="1">
        <v>102</v>
      </c>
      <c r="N7" s="1"/>
      <c r="O7" s="1">
        <v>62</v>
      </c>
      <c r="P7" s="1">
        <f t="shared" si="0"/>
        <v>71.083333333333329</v>
      </c>
    </row>
    <row r="8" spans="1:16" x14ac:dyDescent="0.25">
      <c r="A8">
        <v>1977</v>
      </c>
      <c r="B8" s="1">
        <v>102</v>
      </c>
      <c r="C8" s="1">
        <v>80</v>
      </c>
      <c r="D8" s="1"/>
      <c r="E8" s="1">
        <v>111</v>
      </c>
      <c r="F8" s="1">
        <v>103</v>
      </c>
      <c r="G8" s="1">
        <v>104</v>
      </c>
      <c r="H8" s="1">
        <v>77</v>
      </c>
      <c r="I8" s="1">
        <v>47</v>
      </c>
      <c r="J8" s="1">
        <v>59</v>
      </c>
      <c r="K8" s="1">
        <v>105</v>
      </c>
      <c r="L8" s="1">
        <v>78</v>
      </c>
      <c r="M8" s="1">
        <v>94</v>
      </c>
      <c r="N8" s="1"/>
      <c r="O8" s="1">
        <v>86</v>
      </c>
      <c r="P8" s="1">
        <f t="shared" si="0"/>
        <v>87.166666666666671</v>
      </c>
    </row>
    <row r="9" spans="1:16" x14ac:dyDescent="0.25">
      <c r="A9">
        <v>1978</v>
      </c>
      <c r="B9" s="1">
        <v>45.5</v>
      </c>
      <c r="C9" s="1">
        <v>13.2</v>
      </c>
      <c r="D9" s="1"/>
      <c r="E9" s="1">
        <v>58.8</v>
      </c>
      <c r="F9" s="1">
        <v>136.4</v>
      </c>
      <c r="G9" s="1">
        <v>63</v>
      </c>
      <c r="H9" s="1">
        <v>28.82</v>
      </c>
      <c r="I9" s="1">
        <v>30.8</v>
      </c>
      <c r="J9" s="1">
        <v>32</v>
      </c>
      <c r="K9" s="1">
        <v>56</v>
      </c>
      <c r="L9" s="1">
        <v>33.6</v>
      </c>
      <c r="M9" s="1">
        <v>43.2</v>
      </c>
      <c r="N9" s="1"/>
      <c r="O9" s="1">
        <v>52.8</v>
      </c>
      <c r="P9" s="1">
        <f t="shared" si="0"/>
        <v>49.51</v>
      </c>
    </row>
    <row r="10" spans="1:16" x14ac:dyDescent="0.25">
      <c r="A10">
        <v>1979</v>
      </c>
      <c r="B10" s="1">
        <v>159.5</v>
      </c>
      <c r="C10" s="1">
        <v>105.6</v>
      </c>
      <c r="D10" s="1"/>
      <c r="E10" s="1">
        <v>112.2</v>
      </c>
      <c r="F10" s="1">
        <v>168</v>
      </c>
      <c r="G10" s="1">
        <v>96</v>
      </c>
      <c r="H10" s="1">
        <v>91</v>
      </c>
      <c r="I10" s="1">
        <v>48</v>
      </c>
      <c r="J10" s="1">
        <v>85</v>
      </c>
      <c r="K10" s="1">
        <v>108.8</v>
      </c>
      <c r="L10" s="1">
        <v>36.299999999999997</v>
      </c>
      <c r="M10" s="1">
        <v>81.650000000000006</v>
      </c>
      <c r="N10" s="1"/>
      <c r="O10" s="1">
        <v>75.599999999999994</v>
      </c>
      <c r="P10" s="1">
        <f t="shared" si="0"/>
        <v>97.30416666666666</v>
      </c>
    </row>
    <row r="11" spans="1:16" x14ac:dyDescent="0.25">
      <c r="A11">
        <v>1980</v>
      </c>
      <c r="B11" s="1">
        <v>91.2</v>
      </c>
      <c r="C11" s="1">
        <v>28.8</v>
      </c>
      <c r="D11" s="1"/>
      <c r="E11" s="1">
        <v>63.8</v>
      </c>
      <c r="F11" s="1">
        <v>105</v>
      </c>
      <c r="G11" s="1">
        <v>78.2</v>
      </c>
      <c r="H11" s="1">
        <v>52.01</v>
      </c>
      <c r="I11" s="1">
        <v>25.38</v>
      </c>
      <c r="J11" s="1">
        <v>36.4</v>
      </c>
      <c r="K11" s="1">
        <v>60.8</v>
      </c>
      <c r="L11" s="1">
        <v>35</v>
      </c>
      <c r="M11" s="1">
        <v>47.58</v>
      </c>
      <c r="N11" s="1"/>
      <c r="O11" s="1">
        <v>81</v>
      </c>
      <c r="P11" s="1">
        <f t="shared" si="0"/>
        <v>58.764166666666661</v>
      </c>
    </row>
    <row r="12" spans="1:16" x14ac:dyDescent="0.25">
      <c r="A12">
        <v>1981</v>
      </c>
      <c r="B12" s="1">
        <v>61.2</v>
      </c>
      <c r="C12" s="1">
        <v>52.5</v>
      </c>
      <c r="D12" s="1"/>
      <c r="E12" s="1">
        <v>91.2</v>
      </c>
      <c r="F12" s="1">
        <v>270.60000000000002</v>
      </c>
      <c r="G12" s="1">
        <v>92</v>
      </c>
      <c r="H12" s="1">
        <v>57</v>
      </c>
      <c r="I12" s="1">
        <v>52.8</v>
      </c>
      <c r="J12" s="1">
        <v>32.5</v>
      </c>
      <c r="K12" s="1">
        <v>59.4</v>
      </c>
      <c r="L12" s="1">
        <v>26.4</v>
      </c>
      <c r="M12" s="1">
        <v>52.8</v>
      </c>
      <c r="N12" s="1"/>
      <c r="O12" s="1">
        <v>28.6</v>
      </c>
      <c r="P12" s="1">
        <f t="shared" si="0"/>
        <v>73.083333333333329</v>
      </c>
    </row>
    <row r="13" spans="1:16" x14ac:dyDescent="0.25">
      <c r="A13">
        <v>1982</v>
      </c>
      <c r="B13" s="1">
        <v>75.400000000000006</v>
      </c>
      <c r="C13" s="1">
        <v>32</v>
      </c>
      <c r="D13" s="1"/>
      <c r="E13" s="1">
        <v>86.4</v>
      </c>
      <c r="F13" s="1">
        <v>110.4</v>
      </c>
      <c r="G13" s="1">
        <v>70.400000000000006</v>
      </c>
      <c r="H13" s="1">
        <v>44.2</v>
      </c>
      <c r="I13" s="1">
        <v>42.9</v>
      </c>
      <c r="J13" s="1">
        <v>46.4</v>
      </c>
      <c r="K13" s="1">
        <v>69.3</v>
      </c>
      <c r="L13" s="1">
        <v>34.200000000000003</v>
      </c>
      <c r="M13" s="1">
        <v>64.400000000000006</v>
      </c>
      <c r="N13" s="1"/>
      <c r="O13" s="1">
        <v>83.7</v>
      </c>
      <c r="P13" s="1">
        <f t="shared" si="0"/>
        <v>63.308333333333337</v>
      </c>
    </row>
    <row r="14" spans="1:16" x14ac:dyDescent="0.25">
      <c r="A14">
        <v>1983</v>
      </c>
      <c r="B14" s="1">
        <v>154</v>
      </c>
      <c r="C14" s="1">
        <v>64.8</v>
      </c>
      <c r="D14" s="1"/>
      <c r="E14" s="1">
        <v>105</v>
      </c>
      <c r="F14" s="1">
        <v>182.9</v>
      </c>
      <c r="G14" s="1">
        <v>54.4</v>
      </c>
      <c r="H14" s="1">
        <v>60.8</v>
      </c>
      <c r="I14" s="1">
        <v>37.44</v>
      </c>
      <c r="J14" s="1">
        <v>56.1</v>
      </c>
      <c r="K14" s="1">
        <v>104.4</v>
      </c>
      <c r="L14" s="1">
        <v>10.8</v>
      </c>
      <c r="M14" s="1">
        <v>108.5</v>
      </c>
      <c r="N14" s="1"/>
      <c r="O14" s="1">
        <v>78.400000000000006</v>
      </c>
      <c r="P14" s="1">
        <f t="shared" si="0"/>
        <v>84.794999999999987</v>
      </c>
    </row>
    <row r="15" spans="1:16" x14ac:dyDescent="0.25">
      <c r="A15">
        <v>1984</v>
      </c>
      <c r="B15" s="1">
        <v>62.7</v>
      </c>
      <c r="C15" s="1">
        <v>42</v>
      </c>
      <c r="D15" s="1"/>
      <c r="E15" s="1">
        <v>95.7</v>
      </c>
      <c r="F15" s="1">
        <v>147.19999999999999</v>
      </c>
      <c r="G15" s="1">
        <v>52.2</v>
      </c>
      <c r="H15" s="1">
        <v>46.2</v>
      </c>
      <c r="I15" s="1">
        <v>39.200000000000003</v>
      </c>
      <c r="J15" s="1">
        <v>53.2</v>
      </c>
      <c r="K15" s="1">
        <v>39.200000000000003</v>
      </c>
      <c r="L15" s="1">
        <v>30.8</v>
      </c>
      <c r="M15" s="1">
        <v>68.25</v>
      </c>
      <c r="N15" s="1"/>
      <c r="O15" s="1">
        <v>62.5</v>
      </c>
      <c r="P15" s="1">
        <f t="shared" si="0"/>
        <v>61.595833333333331</v>
      </c>
    </row>
    <row r="16" spans="1:16" x14ac:dyDescent="0.25">
      <c r="A16">
        <v>1985</v>
      </c>
      <c r="B16" s="1">
        <v>121.8</v>
      </c>
      <c r="C16" s="1">
        <v>83.2</v>
      </c>
      <c r="D16" s="1"/>
      <c r="E16" s="1">
        <v>80</v>
      </c>
      <c r="F16" s="1">
        <v>137.19999999999999</v>
      </c>
      <c r="G16" s="1">
        <v>74.8</v>
      </c>
      <c r="H16" s="1">
        <v>88.28</v>
      </c>
      <c r="I16" s="1">
        <v>57.42</v>
      </c>
      <c r="J16" s="1">
        <v>35.26</v>
      </c>
      <c r="K16" s="1">
        <v>62.7</v>
      </c>
      <c r="L16" s="1">
        <v>45.9</v>
      </c>
      <c r="M16" s="1">
        <v>66.84</v>
      </c>
      <c r="N16" s="1"/>
      <c r="O16" s="1">
        <v>140.80000000000001</v>
      </c>
      <c r="P16" s="1">
        <f t="shared" si="0"/>
        <v>82.850000000000009</v>
      </c>
    </row>
    <row r="17" spans="1:16" x14ac:dyDescent="0.25">
      <c r="A17">
        <v>1986</v>
      </c>
      <c r="B17" s="1">
        <v>141</v>
      </c>
      <c r="C17" s="1">
        <v>63</v>
      </c>
      <c r="D17" s="1"/>
      <c r="E17" s="1">
        <v>141</v>
      </c>
      <c r="F17" s="1">
        <v>186</v>
      </c>
      <c r="G17" s="1">
        <v>70</v>
      </c>
      <c r="H17" s="1">
        <v>90</v>
      </c>
      <c r="I17" s="1">
        <v>86</v>
      </c>
      <c r="J17" s="1">
        <v>50</v>
      </c>
      <c r="K17" s="1">
        <v>93</v>
      </c>
      <c r="L17" s="1">
        <v>31</v>
      </c>
      <c r="M17" s="1">
        <v>105</v>
      </c>
      <c r="N17" s="1"/>
      <c r="O17" s="1">
        <v>108</v>
      </c>
      <c r="P17" s="1">
        <f t="shared" si="0"/>
        <v>97</v>
      </c>
    </row>
    <row r="18" spans="1:16" x14ac:dyDescent="0.25">
      <c r="A18">
        <v>1987</v>
      </c>
      <c r="B18" s="1">
        <v>116</v>
      </c>
      <c r="C18" s="1">
        <v>74</v>
      </c>
      <c r="D18" s="1"/>
      <c r="E18" s="1">
        <v>141</v>
      </c>
      <c r="F18" s="1">
        <v>174</v>
      </c>
      <c r="G18" s="1">
        <v>99</v>
      </c>
      <c r="H18" s="1">
        <v>65</v>
      </c>
      <c r="I18" s="1">
        <v>71</v>
      </c>
      <c r="J18" s="1">
        <v>48</v>
      </c>
      <c r="K18" s="1">
        <v>99</v>
      </c>
      <c r="L18" s="1">
        <v>44</v>
      </c>
      <c r="M18" s="1">
        <v>96</v>
      </c>
      <c r="N18" s="1"/>
      <c r="O18" s="1">
        <v>65</v>
      </c>
      <c r="P18" s="1">
        <f t="shared" si="0"/>
        <v>91</v>
      </c>
    </row>
    <row r="19" spans="1:16" x14ac:dyDescent="0.25">
      <c r="A19">
        <v>1988</v>
      </c>
      <c r="B19" s="1">
        <v>132</v>
      </c>
      <c r="C19" s="1">
        <v>73</v>
      </c>
      <c r="D19" s="1"/>
      <c r="E19" s="1">
        <v>115</v>
      </c>
      <c r="F19" s="1">
        <v>171</v>
      </c>
      <c r="G19" s="1">
        <v>94</v>
      </c>
      <c r="H19" s="1">
        <v>67</v>
      </c>
      <c r="I19" s="1">
        <v>82</v>
      </c>
      <c r="J19" s="1">
        <v>54</v>
      </c>
      <c r="K19" s="1">
        <v>99</v>
      </c>
      <c r="L19" s="1">
        <v>40</v>
      </c>
      <c r="M19" s="1">
        <v>136</v>
      </c>
      <c r="N19" s="1"/>
      <c r="O19" s="1">
        <v>99</v>
      </c>
      <c r="P19" s="1">
        <f t="shared" si="0"/>
        <v>96.833333333333329</v>
      </c>
    </row>
    <row r="20" spans="1:16" x14ac:dyDescent="0.25">
      <c r="A20">
        <v>1989</v>
      </c>
      <c r="B20" s="1">
        <v>115</v>
      </c>
      <c r="C20" s="1">
        <v>58</v>
      </c>
      <c r="D20" s="1"/>
      <c r="E20" s="1">
        <v>129</v>
      </c>
      <c r="F20" s="1">
        <v>162</v>
      </c>
      <c r="G20" s="1">
        <v>95</v>
      </c>
      <c r="H20" s="1">
        <v>44</v>
      </c>
      <c r="I20" s="1">
        <v>87</v>
      </c>
      <c r="J20" s="1">
        <v>64</v>
      </c>
      <c r="K20" s="1">
        <v>93</v>
      </c>
      <c r="L20" s="1">
        <v>49</v>
      </c>
      <c r="M20" s="1">
        <v>77</v>
      </c>
      <c r="N20" s="1"/>
      <c r="O20" s="1">
        <v>42</v>
      </c>
      <c r="P20" s="1">
        <f t="shared" si="0"/>
        <v>84.583333333333329</v>
      </c>
    </row>
    <row r="21" spans="1:16" x14ac:dyDescent="0.25">
      <c r="A21">
        <v>1990</v>
      </c>
      <c r="B21" s="1">
        <v>160</v>
      </c>
      <c r="C21" s="1">
        <v>180</v>
      </c>
      <c r="D21" s="1"/>
      <c r="E21" s="1">
        <v>142</v>
      </c>
      <c r="F21" s="1">
        <v>207</v>
      </c>
      <c r="G21" s="1">
        <v>118</v>
      </c>
      <c r="H21" s="1">
        <v>71</v>
      </c>
      <c r="I21" s="1">
        <v>66</v>
      </c>
      <c r="J21" s="1">
        <v>65</v>
      </c>
      <c r="K21" s="1">
        <v>123</v>
      </c>
      <c r="L21" s="1">
        <v>46</v>
      </c>
      <c r="M21" s="1">
        <v>112</v>
      </c>
      <c r="N21" s="1"/>
      <c r="O21" s="1">
        <v>55</v>
      </c>
      <c r="P21" s="1">
        <f t="shared" si="0"/>
        <v>112.08333333333333</v>
      </c>
    </row>
    <row r="22" spans="1:16" x14ac:dyDescent="0.25">
      <c r="A22">
        <v>1991</v>
      </c>
      <c r="B22" s="1">
        <v>96</v>
      </c>
      <c r="C22" s="1">
        <v>75</v>
      </c>
      <c r="D22" s="1"/>
      <c r="E22" s="1">
        <v>127</v>
      </c>
      <c r="F22" s="1">
        <v>185</v>
      </c>
      <c r="G22" s="1">
        <v>84</v>
      </c>
      <c r="H22" s="1">
        <v>70</v>
      </c>
      <c r="I22" s="1">
        <v>68</v>
      </c>
      <c r="J22" s="1">
        <v>68</v>
      </c>
      <c r="K22" s="1">
        <v>102</v>
      </c>
      <c r="L22" s="1">
        <v>36</v>
      </c>
      <c r="M22" s="1">
        <v>106</v>
      </c>
      <c r="N22" s="1"/>
      <c r="O22" s="1">
        <v>74</v>
      </c>
      <c r="P22" s="1">
        <f t="shared" si="0"/>
        <v>90.916666666666671</v>
      </c>
    </row>
    <row r="23" spans="1:16" x14ac:dyDescent="0.25">
      <c r="A23">
        <v>1992</v>
      </c>
      <c r="B23" s="1">
        <v>125</v>
      </c>
      <c r="C23" s="1">
        <v>106</v>
      </c>
      <c r="D23" s="1"/>
      <c r="E23" s="1">
        <v>109</v>
      </c>
      <c r="F23" s="1">
        <v>160</v>
      </c>
      <c r="G23" s="1">
        <v>108</v>
      </c>
      <c r="H23" s="1">
        <v>70</v>
      </c>
      <c r="I23" s="1">
        <v>69</v>
      </c>
      <c r="J23" s="1">
        <v>39</v>
      </c>
      <c r="K23" s="1">
        <v>94</v>
      </c>
      <c r="L23" s="1">
        <v>35</v>
      </c>
      <c r="M23" s="1">
        <v>134</v>
      </c>
      <c r="N23" s="1"/>
      <c r="O23" s="1">
        <v>109</v>
      </c>
      <c r="P23" s="1">
        <f t="shared" si="0"/>
        <v>96.5</v>
      </c>
    </row>
    <row r="24" spans="1:16" x14ac:dyDescent="0.25">
      <c r="A24">
        <v>1993</v>
      </c>
      <c r="B24" s="1">
        <v>143</v>
      </c>
      <c r="C24" s="1">
        <v>49</v>
      </c>
      <c r="D24" s="1"/>
      <c r="E24" s="1">
        <v>87</v>
      </c>
      <c r="F24" s="1">
        <v>133</v>
      </c>
      <c r="G24" s="1">
        <v>102</v>
      </c>
      <c r="H24" s="1">
        <v>48</v>
      </c>
      <c r="I24" s="1">
        <v>51</v>
      </c>
      <c r="J24" s="1">
        <v>58</v>
      </c>
      <c r="K24" s="1">
        <v>106</v>
      </c>
      <c r="L24" s="1">
        <v>35</v>
      </c>
      <c r="M24" s="1">
        <v>86</v>
      </c>
      <c r="N24" s="1"/>
      <c r="O24" s="1">
        <v>96</v>
      </c>
      <c r="P24" s="1">
        <f t="shared" si="0"/>
        <v>82.833333333333329</v>
      </c>
    </row>
    <row r="25" spans="1:16" x14ac:dyDescent="0.25">
      <c r="A25">
        <v>1994</v>
      </c>
      <c r="B25" s="1">
        <v>115</v>
      </c>
      <c r="C25" s="1">
        <v>49</v>
      </c>
      <c r="D25" s="1"/>
      <c r="E25" s="1">
        <v>83</v>
      </c>
      <c r="F25" s="1">
        <v>152</v>
      </c>
      <c r="G25" s="1">
        <v>77</v>
      </c>
      <c r="H25" s="1">
        <v>42</v>
      </c>
      <c r="I25" s="1">
        <v>84</v>
      </c>
      <c r="J25" s="1">
        <v>44</v>
      </c>
      <c r="K25" s="1">
        <v>94</v>
      </c>
      <c r="L25" s="1">
        <v>67</v>
      </c>
      <c r="M25" s="1">
        <v>70</v>
      </c>
      <c r="N25" s="1"/>
      <c r="O25" s="1">
        <v>90</v>
      </c>
      <c r="P25" s="1">
        <f t="shared" si="0"/>
        <v>80.583333333333329</v>
      </c>
    </row>
    <row r="26" spans="1:16" x14ac:dyDescent="0.25">
      <c r="A26">
        <v>1995</v>
      </c>
      <c r="B26" s="1">
        <v>78</v>
      </c>
      <c r="C26" s="1">
        <v>60</v>
      </c>
      <c r="D26" s="1"/>
      <c r="E26" s="1">
        <v>74</v>
      </c>
      <c r="F26" s="1">
        <v>137</v>
      </c>
      <c r="G26" s="1">
        <v>92</v>
      </c>
      <c r="H26" s="1">
        <v>0</v>
      </c>
      <c r="I26" s="1">
        <v>74</v>
      </c>
      <c r="J26" s="1">
        <v>62</v>
      </c>
      <c r="K26" s="1">
        <v>83</v>
      </c>
      <c r="L26" s="1">
        <v>34</v>
      </c>
      <c r="M26" s="1">
        <v>76</v>
      </c>
      <c r="N26" s="1"/>
      <c r="O26" s="1">
        <v>139</v>
      </c>
      <c r="P26" s="1">
        <f t="shared" si="0"/>
        <v>75.75</v>
      </c>
    </row>
    <row r="27" spans="1:16" x14ac:dyDescent="0.25">
      <c r="A27">
        <v>1996</v>
      </c>
      <c r="B27" s="1">
        <v>91</v>
      </c>
      <c r="C27" s="1">
        <v>106</v>
      </c>
      <c r="D27" s="1"/>
      <c r="E27" s="1">
        <v>68</v>
      </c>
      <c r="F27" s="1">
        <v>154</v>
      </c>
      <c r="G27" s="1">
        <v>91</v>
      </c>
      <c r="H27" s="1">
        <v>87</v>
      </c>
      <c r="I27" s="1">
        <v>76</v>
      </c>
      <c r="J27" s="1">
        <v>60</v>
      </c>
      <c r="K27" s="1">
        <v>109</v>
      </c>
      <c r="L27" s="1">
        <v>46</v>
      </c>
      <c r="M27" s="1">
        <v>59</v>
      </c>
      <c r="N27" s="1"/>
      <c r="O27" s="1">
        <v>126</v>
      </c>
      <c r="P27" s="1">
        <f t="shared" si="0"/>
        <v>89.416666666666671</v>
      </c>
    </row>
    <row r="28" spans="1:16" x14ac:dyDescent="0.25">
      <c r="A28">
        <v>1997</v>
      </c>
      <c r="B28" s="1">
        <v>129</v>
      </c>
      <c r="C28" s="1">
        <v>61</v>
      </c>
      <c r="D28" s="1"/>
      <c r="E28" s="1">
        <v>104</v>
      </c>
      <c r="F28" s="1">
        <v>160</v>
      </c>
      <c r="G28" s="1">
        <v>84</v>
      </c>
      <c r="H28" s="1">
        <v>26</v>
      </c>
      <c r="I28" s="1">
        <v>93</v>
      </c>
      <c r="J28" s="1">
        <v>65</v>
      </c>
      <c r="K28" s="1">
        <v>109</v>
      </c>
      <c r="L28" s="1">
        <v>85</v>
      </c>
      <c r="M28" s="1">
        <v>124</v>
      </c>
      <c r="N28" s="1"/>
      <c r="O28" s="1">
        <v>130</v>
      </c>
      <c r="P28" s="1">
        <f t="shared" si="0"/>
        <v>97.5</v>
      </c>
    </row>
    <row r="29" spans="1:16" x14ac:dyDescent="0.25">
      <c r="A29">
        <v>1998</v>
      </c>
      <c r="B29" s="1">
        <v>47</v>
      </c>
      <c r="C29" s="1">
        <v>57</v>
      </c>
      <c r="D29" s="1"/>
      <c r="E29" s="1">
        <v>53</v>
      </c>
      <c r="F29" s="1">
        <v>102</v>
      </c>
      <c r="G29" s="1">
        <v>63</v>
      </c>
      <c r="H29" s="1">
        <v>23</v>
      </c>
      <c r="I29" s="1">
        <v>49</v>
      </c>
      <c r="J29" s="1">
        <v>28</v>
      </c>
      <c r="K29" s="1">
        <v>69</v>
      </c>
      <c r="L29" s="1">
        <v>21</v>
      </c>
      <c r="M29" s="1">
        <v>57</v>
      </c>
      <c r="N29" s="1"/>
      <c r="O29" s="1">
        <v>106</v>
      </c>
      <c r="P29" s="1">
        <f t="shared" si="0"/>
        <v>56.25</v>
      </c>
    </row>
    <row r="30" spans="1:16" x14ac:dyDescent="0.25">
      <c r="A30">
        <v>1999</v>
      </c>
      <c r="B30" s="1">
        <v>109</v>
      </c>
      <c r="C30" s="1">
        <v>91</v>
      </c>
      <c r="D30" s="1"/>
      <c r="E30" s="1">
        <v>109</v>
      </c>
      <c r="F30" s="1">
        <v>125</v>
      </c>
      <c r="G30" s="1">
        <v>70</v>
      </c>
      <c r="H30" s="1">
        <v>31</v>
      </c>
      <c r="I30" s="1">
        <v>108</v>
      </c>
      <c r="J30" s="1">
        <v>74</v>
      </c>
      <c r="K30" s="1">
        <v>86</v>
      </c>
      <c r="L30" s="1">
        <v>93</v>
      </c>
      <c r="M30" s="1">
        <v>66</v>
      </c>
      <c r="N30" s="1"/>
      <c r="O30" s="1">
        <v>112</v>
      </c>
      <c r="P30" s="1">
        <f t="shared" si="0"/>
        <v>89.5</v>
      </c>
    </row>
    <row r="31" spans="1:16" x14ac:dyDescent="0.25">
      <c r="A31">
        <v>2000</v>
      </c>
      <c r="B31" s="1">
        <v>123</v>
      </c>
      <c r="C31" s="1">
        <v>102.4</v>
      </c>
      <c r="D31" s="1"/>
      <c r="E31" s="1">
        <v>90</v>
      </c>
      <c r="F31" s="1">
        <v>148</v>
      </c>
      <c r="G31" s="1">
        <v>115</v>
      </c>
      <c r="H31" s="1">
        <v>38</v>
      </c>
      <c r="I31" s="1">
        <v>48</v>
      </c>
      <c r="J31" s="1">
        <v>46</v>
      </c>
      <c r="K31" s="1">
        <v>104</v>
      </c>
      <c r="L31" s="1">
        <v>36</v>
      </c>
      <c r="M31" s="1">
        <v>94</v>
      </c>
      <c r="N31" s="1"/>
      <c r="O31" s="1">
        <v>105</v>
      </c>
      <c r="P31" s="1">
        <f t="shared" si="0"/>
        <v>87.45</v>
      </c>
    </row>
    <row r="32" spans="1:16" x14ac:dyDescent="0.25">
      <c r="A32">
        <v>2001</v>
      </c>
      <c r="B32" s="1">
        <v>149</v>
      </c>
      <c r="C32" s="1">
        <v>86</v>
      </c>
      <c r="D32" s="1"/>
      <c r="E32" s="1">
        <v>117</v>
      </c>
      <c r="F32" s="1">
        <v>199</v>
      </c>
      <c r="G32" s="1">
        <v>92</v>
      </c>
      <c r="H32" s="1">
        <v>52</v>
      </c>
      <c r="I32" s="1">
        <v>76</v>
      </c>
      <c r="J32" s="1">
        <v>119</v>
      </c>
      <c r="K32" s="1">
        <v>150</v>
      </c>
      <c r="L32" s="1">
        <v>81</v>
      </c>
      <c r="M32" s="1">
        <v>88</v>
      </c>
      <c r="N32" s="1"/>
      <c r="O32" s="1">
        <v>133</v>
      </c>
      <c r="P32" s="1">
        <f t="shared" si="0"/>
        <v>111.83333333333333</v>
      </c>
    </row>
    <row r="33" spans="1:16" x14ac:dyDescent="0.25">
      <c r="A33">
        <v>2002</v>
      </c>
      <c r="B33" s="1">
        <v>81</v>
      </c>
      <c r="C33" s="1">
        <v>27</v>
      </c>
      <c r="D33" s="1"/>
      <c r="E33" s="1">
        <v>75</v>
      </c>
      <c r="F33" s="1">
        <v>102</v>
      </c>
      <c r="G33" s="1">
        <v>65</v>
      </c>
      <c r="H33" s="1">
        <v>26</v>
      </c>
      <c r="I33" s="1">
        <v>43</v>
      </c>
      <c r="J33" s="1">
        <v>59</v>
      </c>
      <c r="K33" s="1">
        <v>51</v>
      </c>
      <c r="L33" s="1">
        <v>25</v>
      </c>
      <c r="M33" s="1">
        <v>66</v>
      </c>
      <c r="N33" s="1"/>
      <c r="O33" s="1">
        <v>46</v>
      </c>
      <c r="P33" s="1">
        <f t="shared" si="0"/>
        <v>55.5</v>
      </c>
    </row>
    <row r="34" spans="1:16" x14ac:dyDescent="0.25">
      <c r="A34">
        <v>2003</v>
      </c>
      <c r="B34" s="1">
        <v>78</v>
      </c>
      <c r="C34" s="1">
        <v>72</v>
      </c>
      <c r="D34" s="1"/>
      <c r="E34" s="1">
        <v>74</v>
      </c>
      <c r="F34" s="1">
        <v>146</v>
      </c>
      <c r="G34" s="1">
        <v>80</v>
      </c>
      <c r="H34" s="1">
        <v>61</v>
      </c>
      <c r="I34" s="1">
        <v>46</v>
      </c>
      <c r="J34" s="1">
        <v>76</v>
      </c>
      <c r="K34" s="1">
        <v>109</v>
      </c>
      <c r="L34" s="1">
        <v>50</v>
      </c>
      <c r="M34" s="1">
        <v>88</v>
      </c>
      <c r="N34" s="1"/>
      <c r="O34" s="1">
        <v>81</v>
      </c>
      <c r="P34" s="1">
        <f t="shared" si="0"/>
        <v>80.083333333333329</v>
      </c>
    </row>
    <row r="35" spans="1:16" x14ac:dyDescent="0.25">
      <c r="A35">
        <v>2004</v>
      </c>
      <c r="B35" s="1">
        <v>92</v>
      </c>
      <c r="C35" s="1">
        <v>59</v>
      </c>
      <c r="D35" s="1"/>
      <c r="E35" s="1">
        <v>85</v>
      </c>
      <c r="F35" s="1">
        <v>213</v>
      </c>
      <c r="G35" s="1">
        <v>104</v>
      </c>
      <c r="H35" s="1">
        <v>49</v>
      </c>
      <c r="I35" s="1">
        <v>53</v>
      </c>
      <c r="J35" s="1">
        <v>87</v>
      </c>
      <c r="K35" s="1">
        <v>79</v>
      </c>
      <c r="L35" s="1">
        <v>44</v>
      </c>
      <c r="M35" s="1">
        <v>81</v>
      </c>
      <c r="N35" s="1"/>
      <c r="O35" s="1">
        <v>71</v>
      </c>
      <c r="P35" s="1">
        <f t="shared" si="0"/>
        <v>84.75</v>
      </c>
    </row>
    <row r="36" spans="1:16" x14ac:dyDescent="0.25">
      <c r="A36">
        <v>2005</v>
      </c>
      <c r="B36" s="1">
        <v>128</v>
      </c>
      <c r="C36" s="1">
        <v>45</v>
      </c>
      <c r="D36" s="1"/>
      <c r="E36" s="1">
        <v>109</v>
      </c>
      <c r="F36" s="1">
        <v>188</v>
      </c>
      <c r="G36" s="1">
        <v>90</v>
      </c>
      <c r="H36" s="1">
        <v>30</v>
      </c>
      <c r="I36" s="1">
        <v>75</v>
      </c>
      <c r="J36" s="1">
        <v>144</v>
      </c>
      <c r="K36" s="1">
        <v>97</v>
      </c>
      <c r="L36" s="1">
        <v>67</v>
      </c>
      <c r="M36" s="1">
        <v>88</v>
      </c>
      <c r="N36" s="1"/>
      <c r="O36" s="1">
        <v>80</v>
      </c>
      <c r="P36" s="1">
        <f t="shared" si="0"/>
        <v>95.083333333333329</v>
      </c>
    </row>
    <row r="37" spans="1:16" x14ac:dyDescent="0.25">
      <c r="A37">
        <v>2006</v>
      </c>
      <c r="B37" s="1">
        <v>72</v>
      </c>
      <c r="C37" s="1">
        <v>59</v>
      </c>
      <c r="D37" s="1"/>
      <c r="E37" s="1">
        <v>73</v>
      </c>
      <c r="F37" s="1">
        <v>90</v>
      </c>
      <c r="G37" s="1">
        <v>84</v>
      </c>
      <c r="H37" s="1">
        <v>39</v>
      </c>
      <c r="I37" s="1">
        <v>40</v>
      </c>
      <c r="J37" s="1">
        <v>62</v>
      </c>
      <c r="K37" s="1">
        <v>83</v>
      </c>
      <c r="L37" s="1">
        <v>46</v>
      </c>
      <c r="M37" s="1">
        <v>72</v>
      </c>
      <c r="N37" s="1"/>
      <c r="O37" s="1">
        <v>14</v>
      </c>
      <c r="P37" s="1">
        <f t="shared" si="0"/>
        <v>61.166666666666664</v>
      </c>
    </row>
    <row r="38" spans="1:16" x14ac:dyDescent="0.25">
      <c r="A38">
        <v>2007</v>
      </c>
      <c r="B38" s="1">
        <v>145</v>
      </c>
      <c r="C38" s="1">
        <v>34</v>
      </c>
      <c r="D38" s="1"/>
      <c r="E38" s="1">
        <v>114</v>
      </c>
      <c r="F38" s="1">
        <v>154</v>
      </c>
      <c r="G38" s="1">
        <v>109</v>
      </c>
      <c r="H38" s="1">
        <v>52</v>
      </c>
      <c r="I38" s="1">
        <v>77</v>
      </c>
      <c r="J38" s="1">
        <v>90</v>
      </c>
      <c r="K38" s="1">
        <v>96</v>
      </c>
      <c r="L38" s="1">
        <v>52</v>
      </c>
      <c r="M38" s="1">
        <v>138</v>
      </c>
      <c r="N38" s="1"/>
      <c r="O38" s="1">
        <v>0</v>
      </c>
      <c r="P38" s="1">
        <f t="shared" si="0"/>
        <v>88.416666666666671</v>
      </c>
    </row>
    <row r="39" spans="1:16" x14ac:dyDescent="0.25">
      <c r="A39">
        <v>2008</v>
      </c>
      <c r="B39" s="1">
        <v>78</v>
      </c>
      <c r="C39" s="1">
        <v>34</v>
      </c>
      <c r="D39" s="1"/>
      <c r="E39" s="1">
        <v>50</v>
      </c>
      <c r="F39" s="1">
        <v>114</v>
      </c>
      <c r="G39" s="1">
        <v>105</v>
      </c>
      <c r="H39" s="1">
        <v>52</v>
      </c>
      <c r="I39" s="1">
        <v>29</v>
      </c>
      <c r="J39" s="1">
        <v>49</v>
      </c>
      <c r="K39" s="1">
        <v>70</v>
      </c>
      <c r="L39" s="1">
        <v>31</v>
      </c>
      <c r="M39" s="1">
        <v>58</v>
      </c>
      <c r="N39" s="1"/>
      <c r="O39" s="1">
        <v>90</v>
      </c>
      <c r="P39" s="1">
        <f t="shared" si="0"/>
        <v>63.333333333333336</v>
      </c>
    </row>
    <row r="40" spans="1:16" x14ac:dyDescent="0.25">
      <c r="A40">
        <v>2009</v>
      </c>
      <c r="B40" s="1">
        <v>76</v>
      </c>
      <c r="C40" s="1">
        <v>55</v>
      </c>
      <c r="D40" s="1"/>
      <c r="E40" s="1">
        <v>42</v>
      </c>
      <c r="F40" s="1">
        <v>67</v>
      </c>
      <c r="G40" s="1">
        <v>85</v>
      </c>
      <c r="H40" s="1">
        <v>103</v>
      </c>
      <c r="I40" s="1">
        <v>35</v>
      </c>
      <c r="J40" s="1"/>
      <c r="K40" s="1">
        <v>60</v>
      </c>
      <c r="L40" s="1">
        <v>41</v>
      </c>
      <c r="M40" s="1">
        <v>95</v>
      </c>
      <c r="N40" s="1"/>
      <c r="O40" s="1">
        <v>50</v>
      </c>
      <c r="P40" s="1">
        <f t="shared" si="0"/>
        <v>64.454545454545453</v>
      </c>
    </row>
    <row r="41" spans="1:16" x14ac:dyDescent="0.25">
      <c r="A41">
        <v>2010</v>
      </c>
      <c r="B41" s="1">
        <v>70</v>
      </c>
      <c r="C41" s="1">
        <v>62</v>
      </c>
      <c r="D41" s="1"/>
      <c r="E41" s="1">
        <v>59</v>
      </c>
      <c r="F41" s="1">
        <v>90</v>
      </c>
      <c r="G41" s="1">
        <v>75</v>
      </c>
      <c r="H41" s="1">
        <v>70</v>
      </c>
      <c r="I41" s="1">
        <v>48</v>
      </c>
      <c r="J41" s="1"/>
      <c r="K41" s="1">
        <v>62</v>
      </c>
      <c r="L41" s="1">
        <v>72</v>
      </c>
      <c r="M41" s="1">
        <v>78</v>
      </c>
      <c r="N41" s="1"/>
      <c r="O41" s="1">
        <v>93</v>
      </c>
      <c r="P41" s="1">
        <f t="shared" si="0"/>
        <v>70.818181818181813</v>
      </c>
    </row>
    <row r="42" spans="1:16" x14ac:dyDescent="0.25">
      <c r="A42">
        <v>2011</v>
      </c>
      <c r="B42" s="1">
        <v>67</v>
      </c>
      <c r="C42" s="1">
        <v>46</v>
      </c>
      <c r="D42" s="1"/>
      <c r="E42" s="1">
        <v>50</v>
      </c>
      <c r="F42" s="1">
        <v>122</v>
      </c>
      <c r="G42" s="1">
        <v>83</v>
      </c>
      <c r="H42" s="1">
        <v>40</v>
      </c>
      <c r="I42" s="1">
        <v>28</v>
      </c>
      <c r="J42" s="1"/>
      <c r="K42" s="1">
        <v>86</v>
      </c>
      <c r="L42" s="1">
        <v>31</v>
      </c>
      <c r="M42" s="1">
        <v>70</v>
      </c>
      <c r="N42" s="1"/>
      <c r="O42" s="1">
        <v>53</v>
      </c>
      <c r="P42" s="1">
        <f t="shared" si="0"/>
        <v>61.454545454545453</v>
      </c>
    </row>
    <row r="43" spans="1:16" x14ac:dyDescent="0.25">
      <c r="A43">
        <v>2012</v>
      </c>
      <c r="B43" s="1">
        <v>70</v>
      </c>
      <c r="C43" s="1">
        <v>22</v>
      </c>
      <c r="D43" s="1"/>
      <c r="E43" s="1">
        <v>54</v>
      </c>
      <c r="F43" s="1">
        <v>87</v>
      </c>
      <c r="G43" s="1">
        <v>36</v>
      </c>
      <c r="H43" s="1">
        <v>36</v>
      </c>
      <c r="I43" s="1">
        <v>44</v>
      </c>
      <c r="J43" s="1">
        <v>67</v>
      </c>
      <c r="K43" s="1">
        <v>53</v>
      </c>
      <c r="L43" s="1">
        <v>18</v>
      </c>
      <c r="M43" s="1">
        <v>60</v>
      </c>
      <c r="N43" s="1"/>
      <c r="O43" s="1">
        <v>38</v>
      </c>
      <c r="P43" s="1">
        <f t="shared" si="0"/>
        <v>48.75</v>
      </c>
    </row>
    <row r="44" spans="1:16" x14ac:dyDescent="0.25">
      <c r="A44">
        <v>2013</v>
      </c>
      <c r="B44" s="1">
        <v>127</v>
      </c>
      <c r="C44" s="1">
        <v>67</v>
      </c>
      <c r="D44" s="1"/>
      <c r="E44" s="1">
        <v>101</v>
      </c>
      <c r="F44" s="1">
        <v>155</v>
      </c>
      <c r="G44" s="1">
        <v>134</v>
      </c>
      <c r="H44" s="1">
        <v>133</v>
      </c>
      <c r="I44" s="1">
        <v>77</v>
      </c>
      <c r="J44" s="1">
        <v>100</v>
      </c>
      <c r="K44" s="1">
        <v>134</v>
      </c>
      <c r="L44" s="1">
        <v>81</v>
      </c>
      <c r="M44" s="1">
        <v>161</v>
      </c>
      <c r="N44" s="1"/>
      <c r="O44" s="1">
        <v>142</v>
      </c>
      <c r="P44" s="1">
        <f t="shared" si="0"/>
        <v>117.66666666666667</v>
      </c>
    </row>
    <row r="45" spans="1:16" x14ac:dyDescent="0.25">
      <c r="A45">
        <v>2014</v>
      </c>
      <c r="B45" s="1">
        <v>125</v>
      </c>
      <c r="C45" s="1">
        <v>55</v>
      </c>
      <c r="D45" s="1"/>
      <c r="E45" s="1">
        <v>114</v>
      </c>
      <c r="F45" s="1">
        <v>130</v>
      </c>
      <c r="G45" s="1">
        <v>90</v>
      </c>
      <c r="H45" s="1">
        <v>85</v>
      </c>
      <c r="I45" s="1">
        <v>57</v>
      </c>
      <c r="J45" s="1">
        <v>73</v>
      </c>
      <c r="K45" s="1">
        <v>156</v>
      </c>
      <c r="L45" s="1">
        <v>46</v>
      </c>
      <c r="M45" s="1">
        <v>115</v>
      </c>
      <c r="N45" s="1"/>
      <c r="O45" s="1">
        <v>108</v>
      </c>
      <c r="P45" s="1">
        <f t="shared" si="0"/>
        <v>96.166666666666671</v>
      </c>
    </row>
    <row r="46" spans="1:16" x14ac:dyDescent="0.25">
      <c r="A46">
        <v>2015</v>
      </c>
      <c r="B46" s="1">
        <v>118</v>
      </c>
      <c r="C46" s="1">
        <v>55</v>
      </c>
      <c r="D46" s="1"/>
      <c r="E46" s="1">
        <v>118</v>
      </c>
      <c r="F46" s="1">
        <v>165</v>
      </c>
      <c r="G46" s="1">
        <v>132</v>
      </c>
      <c r="H46" s="1">
        <v>84</v>
      </c>
      <c r="I46" s="1">
        <v>68</v>
      </c>
      <c r="J46" s="1">
        <v>122</v>
      </c>
      <c r="K46" s="1">
        <v>137</v>
      </c>
      <c r="L46" s="1">
        <v>48</v>
      </c>
      <c r="M46" s="1">
        <v>118</v>
      </c>
      <c r="N46" s="1"/>
      <c r="O46" s="1">
        <v>88</v>
      </c>
      <c r="P46" s="1">
        <f t="shared" si="0"/>
        <v>104.41666666666667</v>
      </c>
    </row>
    <row r="47" spans="1:16" x14ac:dyDescent="0.25">
      <c r="A47">
        <v>2016</v>
      </c>
      <c r="B47" s="1">
        <v>143</v>
      </c>
      <c r="C47" s="1">
        <v>78</v>
      </c>
      <c r="D47" s="1"/>
      <c r="E47" s="1">
        <v>160</v>
      </c>
      <c r="F47" s="1">
        <v>218</v>
      </c>
      <c r="G47" s="1">
        <v>109</v>
      </c>
      <c r="H47" s="1">
        <v>67</v>
      </c>
      <c r="I47" s="1">
        <v>95</v>
      </c>
      <c r="J47" s="1">
        <v>115</v>
      </c>
      <c r="K47" s="1">
        <v>103</v>
      </c>
      <c r="L47" s="1">
        <v>54</v>
      </c>
      <c r="M47" s="1">
        <v>158</v>
      </c>
      <c r="N47" s="1"/>
      <c r="O47" s="1">
        <v>90</v>
      </c>
      <c r="P47" s="1">
        <f t="shared" si="0"/>
        <v>115.83333333333333</v>
      </c>
    </row>
    <row r="48" spans="1:16" x14ac:dyDescent="0.25">
      <c r="A48">
        <v>2017</v>
      </c>
      <c r="B48" s="1">
        <v>142</v>
      </c>
      <c r="C48" s="1">
        <v>63</v>
      </c>
      <c r="D48" s="1"/>
      <c r="E48" s="1">
        <v>127</v>
      </c>
      <c r="F48" s="1">
        <v>180</v>
      </c>
      <c r="G48" s="1">
        <v>90</v>
      </c>
      <c r="H48" s="1">
        <v>60</v>
      </c>
      <c r="I48" s="1">
        <v>66</v>
      </c>
      <c r="J48" s="1">
        <v>87</v>
      </c>
      <c r="K48" s="1">
        <v>116</v>
      </c>
      <c r="L48" s="1">
        <v>68</v>
      </c>
      <c r="M48" s="1">
        <v>91</v>
      </c>
      <c r="N48" s="1"/>
      <c r="O48" s="1">
        <v>112</v>
      </c>
      <c r="P48" s="1">
        <f t="shared" si="0"/>
        <v>100.16666666666667</v>
      </c>
    </row>
    <row r="49" spans="1:16" x14ac:dyDescent="0.25">
      <c r="A49">
        <v>2018</v>
      </c>
      <c r="B49" s="1">
        <v>58</v>
      </c>
      <c r="C49" s="1">
        <v>42</v>
      </c>
      <c r="D49" s="1"/>
      <c r="E49" s="1">
        <v>68</v>
      </c>
      <c r="F49" s="1">
        <v>115</v>
      </c>
      <c r="G49" s="1">
        <v>64</v>
      </c>
      <c r="H49" s="1">
        <v>43</v>
      </c>
      <c r="I49" s="1">
        <v>38</v>
      </c>
      <c r="J49" s="1">
        <v>81</v>
      </c>
      <c r="K49" s="1">
        <v>67</v>
      </c>
      <c r="L49" s="1">
        <v>29</v>
      </c>
      <c r="M49" s="1">
        <v>64</v>
      </c>
      <c r="N49" s="1"/>
      <c r="O49" s="1">
        <v>71</v>
      </c>
      <c r="P49" s="1">
        <f t="shared" si="0"/>
        <v>61.666666666666664</v>
      </c>
    </row>
    <row r="50" spans="1:16" x14ac:dyDescent="0.25">
      <c r="A50">
        <v>2019</v>
      </c>
      <c r="B50" s="1">
        <v>99</v>
      </c>
      <c r="C50" s="1">
        <v>85</v>
      </c>
      <c r="D50" s="1"/>
      <c r="E50" s="1">
        <v>83</v>
      </c>
      <c r="F50" s="1">
        <v>116</v>
      </c>
      <c r="G50" s="1">
        <v>165</v>
      </c>
      <c r="H50" s="1">
        <v>76</v>
      </c>
      <c r="I50" s="1">
        <v>52</v>
      </c>
      <c r="J50" s="1">
        <v>69</v>
      </c>
      <c r="K50" s="1">
        <v>78</v>
      </c>
      <c r="L50" s="1">
        <v>48</v>
      </c>
      <c r="M50" s="1">
        <v>95</v>
      </c>
      <c r="N50" s="1"/>
      <c r="O50" s="1">
        <v>109</v>
      </c>
      <c r="P50" s="1">
        <f t="shared" si="0"/>
        <v>89.583333333333329</v>
      </c>
    </row>
    <row r="51" spans="1:16" x14ac:dyDescent="0.25">
      <c r="A51">
        <v>2020</v>
      </c>
      <c r="B51" s="1">
        <v>180</v>
      </c>
      <c r="C51" s="1">
        <v>61</v>
      </c>
      <c r="D51" s="1"/>
      <c r="E51" s="1">
        <v>142</v>
      </c>
      <c r="F51" s="1">
        <v>159</v>
      </c>
      <c r="G51" s="1">
        <v>119</v>
      </c>
      <c r="H51" s="1">
        <v>73</v>
      </c>
      <c r="I51" s="1">
        <v>89</v>
      </c>
      <c r="J51" s="1">
        <v>156</v>
      </c>
      <c r="K51" s="1">
        <v>196</v>
      </c>
      <c r="L51" s="1">
        <v>27</v>
      </c>
      <c r="M51" s="1">
        <v>101</v>
      </c>
      <c r="N51" s="1"/>
      <c r="O51" s="1">
        <v>110</v>
      </c>
      <c r="P51" s="1">
        <f t="shared" si="0"/>
        <v>117.75</v>
      </c>
    </row>
    <row r="52" spans="1:16" x14ac:dyDescent="0.25">
      <c r="A52">
        <v>2021</v>
      </c>
      <c r="B52" s="1">
        <v>116</v>
      </c>
      <c r="C52" s="1">
        <v>97</v>
      </c>
      <c r="D52" s="1"/>
      <c r="E52" s="1">
        <v>99</v>
      </c>
      <c r="F52" s="1">
        <v>97</v>
      </c>
      <c r="G52" s="1">
        <v>83</v>
      </c>
      <c r="H52" s="1">
        <v>80</v>
      </c>
      <c r="I52" s="1">
        <v>88</v>
      </c>
      <c r="J52" s="1">
        <v>104</v>
      </c>
      <c r="K52" s="1">
        <v>114</v>
      </c>
      <c r="L52" s="1">
        <v>57</v>
      </c>
      <c r="M52" s="1">
        <v>124</v>
      </c>
      <c r="N52" s="1"/>
      <c r="O52" s="1">
        <v>96</v>
      </c>
      <c r="P52" s="1">
        <f t="shared" si="0"/>
        <v>96.25</v>
      </c>
    </row>
    <row r="53" spans="1:16" x14ac:dyDescent="0.25">
      <c r="A53">
        <v>2022</v>
      </c>
      <c r="B53" s="1">
        <v>123</v>
      </c>
      <c r="C53" s="1">
        <v>53</v>
      </c>
      <c r="D53" s="1"/>
      <c r="E53" s="1">
        <v>101</v>
      </c>
      <c r="F53" s="1">
        <v>164</v>
      </c>
      <c r="G53" s="1">
        <v>102</v>
      </c>
      <c r="H53" s="1">
        <v>57</v>
      </c>
      <c r="I53" s="1">
        <v>111</v>
      </c>
      <c r="J53" s="1">
        <v>133</v>
      </c>
      <c r="K53" s="1">
        <v>119</v>
      </c>
      <c r="L53" s="1">
        <v>14</v>
      </c>
      <c r="M53" s="1">
        <v>94</v>
      </c>
      <c r="N53" s="1"/>
      <c r="O53" s="1">
        <v>93</v>
      </c>
      <c r="P53" s="1">
        <f t="shared" si="0"/>
        <v>97</v>
      </c>
    </row>
    <row r="54" spans="1:16" x14ac:dyDescent="0.25">
      <c r="A54">
        <v>2023</v>
      </c>
      <c r="B54" s="1">
        <v>118</v>
      </c>
      <c r="C54" s="1">
        <v>58</v>
      </c>
      <c r="D54" s="1"/>
      <c r="E54" s="1">
        <v>81</v>
      </c>
      <c r="F54" s="1">
        <v>210</v>
      </c>
      <c r="G54" s="1">
        <v>87</v>
      </c>
      <c r="H54" s="1">
        <v>42</v>
      </c>
      <c r="I54" s="1">
        <v>78</v>
      </c>
      <c r="J54" s="1">
        <v>84</v>
      </c>
      <c r="K54" s="1">
        <v>78</v>
      </c>
      <c r="L54" s="1">
        <v>23</v>
      </c>
      <c r="M54" s="1">
        <v>65</v>
      </c>
      <c r="N54" s="1"/>
      <c r="O54" s="1">
        <v>109</v>
      </c>
      <c r="P54" s="1">
        <f t="shared" si="0"/>
        <v>86.083333333333329</v>
      </c>
    </row>
    <row r="55" spans="1:16" x14ac:dyDescent="0.25">
      <c r="A55">
        <v>2024</v>
      </c>
      <c r="B55" s="1">
        <v>122</v>
      </c>
      <c r="C55" s="1">
        <v>32</v>
      </c>
      <c r="D55" s="1"/>
      <c r="E55" s="1">
        <v>129</v>
      </c>
      <c r="F55" s="1">
        <v>201</v>
      </c>
      <c r="G55" s="1">
        <v>78</v>
      </c>
      <c r="H55" s="1">
        <v>25</v>
      </c>
      <c r="I55" s="1">
        <v>75</v>
      </c>
      <c r="J55" s="1">
        <v>0</v>
      </c>
      <c r="K55" s="1">
        <v>0</v>
      </c>
      <c r="L55" s="1">
        <v>30</v>
      </c>
      <c r="M55" s="1">
        <v>85</v>
      </c>
      <c r="N55" s="1"/>
      <c r="O55" s="1">
        <v>109</v>
      </c>
      <c r="P55" s="1">
        <f t="shared" si="0"/>
        <v>73.833333333333329</v>
      </c>
    </row>
    <row r="56" spans="1:16" x14ac:dyDescent="0.25">
      <c r="A56">
        <v>2025</v>
      </c>
      <c r="B56" s="1">
        <v>149</v>
      </c>
      <c r="C56" s="1">
        <v>85</v>
      </c>
      <c r="D56" s="1"/>
      <c r="E56" s="1">
        <v>151</v>
      </c>
      <c r="F56" s="1">
        <v>176</v>
      </c>
      <c r="G56" s="1">
        <v>112</v>
      </c>
      <c r="H56" s="1">
        <v>86</v>
      </c>
      <c r="I56" s="1">
        <v>94</v>
      </c>
      <c r="J56" s="1">
        <v>118</v>
      </c>
      <c r="K56" s="1">
        <v>158</v>
      </c>
      <c r="L56" s="1">
        <v>42</v>
      </c>
      <c r="M56" s="1">
        <v>119</v>
      </c>
      <c r="N56" s="1"/>
      <c r="O56" s="1">
        <v>132</v>
      </c>
      <c r="P56" s="1">
        <f t="shared" si="0"/>
        <v>118.5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6"/>
  <sheetViews>
    <sheetView workbookViewId="0">
      <selection activeCell="S1" sqref="S1"/>
    </sheetView>
  </sheetViews>
  <sheetFormatPr defaultRowHeight="15" x14ac:dyDescent="0.25"/>
  <sheetData>
    <row r="1" spans="1:21" ht="75" x14ac:dyDescent="0.25"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  <c r="L1" t="s">
        <v>35</v>
      </c>
      <c r="M1" t="s">
        <v>36</v>
      </c>
      <c r="N1" t="s">
        <v>37</v>
      </c>
      <c r="O1" t="s">
        <v>38</v>
      </c>
      <c r="P1" t="s">
        <v>39</v>
      </c>
      <c r="Q1" t="s">
        <v>40</v>
      </c>
      <c r="R1" t="s">
        <v>41</v>
      </c>
      <c r="S1" s="3" t="s">
        <v>213</v>
      </c>
    </row>
    <row r="2" spans="1:21" x14ac:dyDescent="0.25">
      <c r="A2">
        <v>1971</v>
      </c>
      <c r="B2" s="1">
        <v>50</v>
      </c>
      <c r="C2" s="1">
        <v>74</v>
      </c>
      <c r="D2" s="1">
        <v>67</v>
      </c>
      <c r="E2" s="1">
        <v>80</v>
      </c>
      <c r="F2" s="1">
        <v>50</v>
      </c>
      <c r="G2" s="1">
        <v>57</v>
      </c>
      <c r="H2" s="1">
        <v>0</v>
      </c>
      <c r="I2" s="1">
        <v>0</v>
      </c>
      <c r="J2" s="1">
        <v>62</v>
      </c>
      <c r="K2" s="1">
        <v>26</v>
      </c>
      <c r="L2" s="1">
        <v>0</v>
      </c>
      <c r="M2" s="1">
        <v>48</v>
      </c>
      <c r="N2" s="1">
        <v>148</v>
      </c>
      <c r="O2" s="1">
        <v>60</v>
      </c>
      <c r="P2" s="1">
        <v>50</v>
      </c>
      <c r="Q2" s="1">
        <v>50</v>
      </c>
      <c r="R2" s="1">
        <v>46</v>
      </c>
      <c r="S2" s="1">
        <f>AVERAGE(B2:R2)</f>
        <v>51.058823529411768</v>
      </c>
      <c r="T2" s="1"/>
      <c r="U2" s="1"/>
    </row>
    <row r="3" spans="1:21" x14ac:dyDescent="0.25">
      <c r="A3">
        <v>1972</v>
      </c>
      <c r="B3" s="1">
        <v>53</v>
      </c>
      <c r="C3" s="1">
        <v>38</v>
      </c>
      <c r="D3" s="1">
        <v>66</v>
      </c>
      <c r="E3" s="1">
        <v>40</v>
      </c>
      <c r="F3" s="1">
        <v>50</v>
      </c>
      <c r="G3" s="1">
        <v>58</v>
      </c>
      <c r="H3" s="1">
        <v>52</v>
      </c>
      <c r="I3" s="1">
        <v>0</v>
      </c>
      <c r="J3" s="1">
        <v>68</v>
      </c>
      <c r="K3" s="1">
        <v>48</v>
      </c>
      <c r="L3" s="1">
        <v>82</v>
      </c>
      <c r="M3" s="1">
        <v>30</v>
      </c>
      <c r="N3" s="1">
        <v>125</v>
      </c>
      <c r="O3" s="1">
        <v>76</v>
      </c>
      <c r="P3" s="1">
        <v>84</v>
      </c>
      <c r="Q3" s="1">
        <v>18</v>
      </c>
      <c r="R3" s="1">
        <v>70</v>
      </c>
      <c r="S3" s="1">
        <f t="shared" ref="S3:S56" si="0">AVERAGE(B3:R3)</f>
        <v>56.352941176470587</v>
      </c>
      <c r="T3" s="1"/>
      <c r="U3" s="1"/>
    </row>
    <row r="4" spans="1:21" x14ac:dyDescent="0.25">
      <c r="A4">
        <v>1973</v>
      </c>
      <c r="B4" s="1">
        <v>59</v>
      </c>
      <c r="C4" s="1">
        <v>65</v>
      </c>
      <c r="D4" s="1">
        <v>44</v>
      </c>
      <c r="E4" s="1">
        <v>44</v>
      </c>
      <c r="F4" s="1">
        <v>56</v>
      </c>
      <c r="G4" s="1">
        <v>73</v>
      </c>
      <c r="H4" s="1">
        <v>57</v>
      </c>
      <c r="I4" s="1">
        <v>0</v>
      </c>
      <c r="J4" s="1">
        <v>46</v>
      </c>
      <c r="K4" s="1">
        <v>34</v>
      </c>
      <c r="L4" s="1">
        <v>52</v>
      </c>
      <c r="M4" s="1">
        <v>53</v>
      </c>
      <c r="N4" s="1">
        <v>139</v>
      </c>
      <c r="O4" s="1">
        <v>78</v>
      </c>
      <c r="P4" s="1">
        <v>70</v>
      </c>
      <c r="Q4" s="1">
        <v>59</v>
      </c>
      <c r="R4" s="1">
        <v>62</v>
      </c>
      <c r="S4" s="1">
        <f t="shared" si="0"/>
        <v>58.294117647058826</v>
      </c>
      <c r="T4" s="1"/>
      <c r="U4" s="1"/>
    </row>
    <row r="5" spans="1:21" x14ac:dyDescent="0.25">
      <c r="A5">
        <v>1974</v>
      </c>
      <c r="B5" s="1">
        <v>25</v>
      </c>
      <c r="C5" s="1">
        <v>26</v>
      </c>
      <c r="D5" s="1">
        <v>26</v>
      </c>
      <c r="E5" s="1">
        <v>21</v>
      </c>
      <c r="F5" s="1">
        <v>30</v>
      </c>
      <c r="G5" s="1">
        <v>28</v>
      </c>
      <c r="H5" s="1">
        <v>25</v>
      </c>
      <c r="I5" s="1">
        <v>0</v>
      </c>
      <c r="J5" s="1">
        <v>52</v>
      </c>
      <c r="K5" s="1">
        <v>16</v>
      </c>
      <c r="L5" s="1">
        <v>42</v>
      </c>
      <c r="M5" s="1">
        <v>27</v>
      </c>
      <c r="N5" s="1">
        <v>102</v>
      </c>
      <c r="O5" s="1">
        <v>30</v>
      </c>
      <c r="P5" s="1">
        <v>31</v>
      </c>
      <c r="Q5" s="1">
        <v>16</v>
      </c>
      <c r="R5" s="1">
        <v>33</v>
      </c>
      <c r="S5" s="1">
        <f t="shared" si="0"/>
        <v>31.176470588235293</v>
      </c>
      <c r="T5" s="1"/>
      <c r="U5" s="1"/>
    </row>
    <row r="6" spans="1:21" x14ac:dyDescent="0.25">
      <c r="A6">
        <v>1975</v>
      </c>
      <c r="B6" s="1">
        <v>38</v>
      </c>
      <c r="C6" s="1">
        <v>42</v>
      </c>
      <c r="D6" s="1">
        <v>42</v>
      </c>
      <c r="E6" s="1">
        <v>42</v>
      </c>
      <c r="F6" s="1">
        <v>67</v>
      </c>
      <c r="G6" s="1">
        <v>40</v>
      </c>
      <c r="H6" s="1">
        <v>40</v>
      </c>
      <c r="I6" s="1">
        <v>0</v>
      </c>
      <c r="J6" s="1">
        <v>53</v>
      </c>
      <c r="K6" s="1">
        <v>30</v>
      </c>
      <c r="L6" s="1">
        <v>46</v>
      </c>
      <c r="M6" s="1">
        <v>45</v>
      </c>
      <c r="N6" s="1">
        <v>142</v>
      </c>
      <c r="O6" s="1">
        <v>60</v>
      </c>
      <c r="P6" s="1">
        <v>36</v>
      </c>
      <c r="Q6" s="1">
        <v>43</v>
      </c>
      <c r="R6" s="1">
        <v>47</v>
      </c>
      <c r="S6" s="1">
        <f t="shared" si="0"/>
        <v>47.823529411764703</v>
      </c>
      <c r="T6" s="1"/>
      <c r="U6" s="1"/>
    </row>
    <row r="7" spans="1:21" x14ac:dyDescent="0.25">
      <c r="A7">
        <v>1976</v>
      </c>
      <c r="B7" s="1">
        <v>65</v>
      </c>
      <c r="C7" s="1">
        <v>67</v>
      </c>
      <c r="D7" s="1">
        <v>95</v>
      </c>
      <c r="E7" s="1">
        <v>53</v>
      </c>
      <c r="F7" s="1">
        <v>82</v>
      </c>
      <c r="G7" s="1">
        <v>60</v>
      </c>
      <c r="H7" s="1">
        <v>105</v>
      </c>
      <c r="I7" s="1">
        <v>0</v>
      </c>
      <c r="J7" s="1">
        <v>44</v>
      </c>
      <c r="K7" s="1">
        <v>45</v>
      </c>
      <c r="L7" s="1">
        <v>97</v>
      </c>
      <c r="M7" s="1">
        <v>51</v>
      </c>
      <c r="N7" s="1">
        <v>181</v>
      </c>
      <c r="O7" s="1">
        <v>90</v>
      </c>
      <c r="P7" s="1">
        <v>69</v>
      </c>
      <c r="Q7" s="1">
        <v>39</v>
      </c>
      <c r="R7" s="1">
        <v>63</v>
      </c>
      <c r="S7" s="1">
        <f t="shared" si="0"/>
        <v>70.941176470588232</v>
      </c>
      <c r="T7" s="1"/>
      <c r="U7" s="1"/>
    </row>
    <row r="8" spans="1:21" x14ac:dyDescent="0.25">
      <c r="A8">
        <v>1977</v>
      </c>
      <c r="B8" s="1">
        <v>60</v>
      </c>
      <c r="C8" s="1">
        <v>21</v>
      </c>
      <c r="D8" s="1">
        <v>41</v>
      </c>
      <c r="E8" s="1">
        <v>34</v>
      </c>
      <c r="F8" s="1">
        <v>54</v>
      </c>
      <c r="G8" s="1">
        <v>35</v>
      </c>
      <c r="H8" s="1">
        <v>58</v>
      </c>
      <c r="I8" s="1">
        <v>0</v>
      </c>
      <c r="J8" s="1">
        <v>56</v>
      </c>
      <c r="K8" s="1">
        <v>23</v>
      </c>
      <c r="L8" s="1">
        <v>59</v>
      </c>
      <c r="M8" s="1">
        <v>33</v>
      </c>
      <c r="N8" s="1">
        <v>133</v>
      </c>
      <c r="O8" s="1">
        <v>75</v>
      </c>
      <c r="P8" s="1">
        <v>28</v>
      </c>
      <c r="Q8" s="1">
        <v>37</v>
      </c>
      <c r="R8" s="1">
        <v>55</v>
      </c>
      <c r="S8" s="1">
        <f t="shared" si="0"/>
        <v>47.176470588235297</v>
      </c>
      <c r="T8" s="1"/>
      <c r="U8" s="1"/>
    </row>
    <row r="9" spans="1:21" x14ac:dyDescent="0.25">
      <c r="A9">
        <v>1978</v>
      </c>
      <c r="B9" s="1">
        <v>64.8</v>
      </c>
      <c r="C9" s="1">
        <v>36</v>
      </c>
      <c r="D9" s="1">
        <v>52.82</v>
      </c>
      <c r="E9" s="1">
        <v>53.2</v>
      </c>
      <c r="F9" s="1">
        <v>56.7</v>
      </c>
      <c r="G9" s="1">
        <v>58.8</v>
      </c>
      <c r="H9" s="1">
        <v>51.3</v>
      </c>
      <c r="I9" s="1">
        <v>0</v>
      </c>
      <c r="J9" s="1">
        <v>48</v>
      </c>
      <c r="K9" s="1">
        <v>24.3</v>
      </c>
      <c r="L9" s="1">
        <v>89.1</v>
      </c>
      <c r="M9" s="1">
        <v>36</v>
      </c>
      <c r="N9" s="1">
        <v>136.80000000000001</v>
      </c>
      <c r="O9" s="1">
        <v>82.5</v>
      </c>
      <c r="P9" s="1">
        <v>44</v>
      </c>
      <c r="Q9" s="1">
        <v>0</v>
      </c>
      <c r="R9" s="1">
        <v>52.7</v>
      </c>
      <c r="S9" s="1">
        <f t="shared" si="0"/>
        <v>52.177647058823531</v>
      </c>
      <c r="T9" s="1"/>
      <c r="U9" s="1"/>
    </row>
    <row r="10" spans="1:21" x14ac:dyDescent="0.25">
      <c r="A10">
        <v>1979</v>
      </c>
      <c r="B10" s="1">
        <v>69.040000000000006</v>
      </c>
      <c r="C10" s="1">
        <v>17.62</v>
      </c>
      <c r="D10" s="1">
        <v>68</v>
      </c>
      <c r="E10" s="1">
        <v>14.44</v>
      </c>
      <c r="F10" s="1">
        <v>36.799999999999997</v>
      </c>
      <c r="G10" s="1">
        <v>8.82</v>
      </c>
      <c r="H10" s="1">
        <v>72.099999999999994</v>
      </c>
      <c r="I10" s="1">
        <v>177.6</v>
      </c>
      <c r="J10" s="1">
        <v>86.4</v>
      </c>
      <c r="K10" s="1">
        <v>56</v>
      </c>
      <c r="L10" s="1">
        <v>72.92</v>
      </c>
      <c r="M10" s="1">
        <v>19.760000000000002</v>
      </c>
      <c r="N10" s="1">
        <v>416.1</v>
      </c>
      <c r="O10" s="1">
        <v>48.5</v>
      </c>
      <c r="P10" s="1">
        <v>31.61</v>
      </c>
      <c r="Q10" s="1">
        <v>0</v>
      </c>
      <c r="R10" s="1">
        <v>88</v>
      </c>
      <c r="S10" s="1">
        <f t="shared" si="0"/>
        <v>75.512352941176459</v>
      </c>
      <c r="T10" s="1"/>
      <c r="U10" s="1"/>
    </row>
    <row r="11" spans="1:21" x14ac:dyDescent="0.25">
      <c r="A11">
        <v>1980</v>
      </c>
      <c r="B11" s="1">
        <v>55.08</v>
      </c>
      <c r="C11" s="1">
        <v>54.61</v>
      </c>
      <c r="D11" s="1">
        <v>37.799999999999997</v>
      </c>
      <c r="E11" s="1">
        <v>57.6</v>
      </c>
      <c r="F11" s="1">
        <v>62.1</v>
      </c>
      <c r="G11" s="1">
        <v>26.4</v>
      </c>
      <c r="H11" s="1">
        <v>84.1</v>
      </c>
      <c r="I11" s="1">
        <v>95.7</v>
      </c>
      <c r="J11" s="1">
        <v>69</v>
      </c>
      <c r="K11" s="1">
        <v>24</v>
      </c>
      <c r="L11" s="1">
        <v>36.4</v>
      </c>
      <c r="M11" s="1">
        <v>46.8</v>
      </c>
      <c r="N11" s="1">
        <v>197.8</v>
      </c>
      <c r="O11" s="1">
        <v>54.6</v>
      </c>
      <c r="P11" s="1">
        <v>60</v>
      </c>
      <c r="Q11" s="1">
        <v>100.8</v>
      </c>
      <c r="R11" s="1">
        <v>31.5</v>
      </c>
      <c r="S11" s="1">
        <f t="shared" si="0"/>
        <v>64.37</v>
      </c>
      <c r="T11" s="1"/>
      <c r="U11" s="1"/>
    </row>
    <row r="12" spans="1:21" x14ac:dyDescent="0.25">
      <c r="A12">
        <v>1981</v>
      </c>
      <c r="B12" s="1">
        <v>27.08</v>
      </c>
      <c r="C12" s="1">
        <v>14</v>
      </c>
      <c r="D12" s="1">
        <v>21.6</v>
      </c>
      <c r="E12" s="1">
        <v>44.88</v>
      </c>
      <c r="F12" s="1">
        <v>58.9</v>
      </c>
      <c r="G12" s="1">
        <v>0</v>
      </c>
      <c r="H12" s="1">
        <v>59.4</v>
      </c>
      <c r="I12" s="1">
        <v>120</v>
      </c>
      <c r="J12" s="1">
        <v>62.1</v>
      </c>
      <c r="K12" s="1">
        <v>18</v>
      </c>
      <c r="L12" s="1">
        <v>27.27</v>
      </c>
      <c r="M12" s="1">
        <v>30.81</v>
      </c>
      <c r="N12" s="1">
        <v>176.8</v>
      </c>
      <c r="O12" s="1">
        <v>16.8</v>
      </c>
      <c r="P12" s="1">
        <v>6.4</v>
      </c>
      <c r="Q12" s="1">
        <v>5.7</v>
      </c>
      <c r="R12" s="1">
        <v>0</v>
      </c>
      <c r="S12" s="1">
        <f t="shared" si="0"/>
        <v>40.572941176470586</v>
      </c>
      <c r="T12" s="1"/>
      <c r="U12" s="1"/>
    </row>
    <row r="13" spans="1:21" x14ac:dyDescent="0.25">
      <c r="A13">
        <v>1982</v>
      </c>
      <c r="B13" s="1">
        <v>43.2</v>
      </c>
      <c r="C13" s="1">
        <v>62</v>
      </c>
      <c r="D13" s="1">
        <v>43.5</v>
      </c>
      <c r="E13" s="1">
        <v>75.400000000000006</v>
      </c>
      <c r="F13" s="1">
        <v>104</v>
      </c>
      <c r="G13" s="1">
        <v>32.4</v>
      </c>
      <c r="H13" s="1">
        <v>155.80000000000001</v>
      </c>
      <c r="I13" s="1">
        <v>127.1</v>
      </c>
      <c r="J13" s="1">
        <v>36</v>
      </c>
      <c r="K13" s="1">
        <v>38</v>
      </c>
      <c r="L13" s="1">
        <v>55.21</v>
      </c>
      <c r="M13" s="1">
        <v>49.6</v>
      </c>
      <c r="N13" s="1">
        <v>172.8</v>
      </c>
      <c r="O13" s="1">
        <v>86.4</v>
      </c>
      <c r="P13" s="1">
        <v>46.92</v>
      </c>
      <c r="Q13" s="1">
        <v>67.2</v>
      </c>
      <c r="R13" s="1">
        <v>54.6</v>
      </c>
      <c r="S13" s="1">
        <f t="shared" si="0"/>
        <v>73.537058823529421</v>
      </c>
      <c r="T13" s="1"/>
      <c r="U13" s="1"/>
    </row>
    <row r="14" spans="1:21" x14ac:dyDescent="0.25">
      <c r="A14">
        <v>1983</v>
      </c>
      <c r="B14" s="1">
        <v>64.66</v>
      </c>
      <c r="C14" s="1">
        <v>38.4</v>
      </c>
      <c r="D14" s="1">
        <v>46.8</v>
      </c>
      <c r="E14" s="1">
        <v>58</v>
      </c>
      <c r="F14" s="1">
        <v>136.4</v>
      </c>
      <c r="G14" s="1">
        <v>156.4</v>
      </c>
      <c r="H14" s="1">
        <v>160</v>
      </c>
      <c r="I14" s="1">
        <v>165.6</v>
      </c>
      <c r="J14" s="1">
        <v>79.2</v>
      </c>
      <c r="K14" s="1">
        <v>66</v>
      </c>
      <c r="L14" s="1">
        <v>79.23</v>
      </c>
      <c r="M14" s="1">
        <v>33.6</v>
      </c>
      <c r="N14" s="1">
        <v>138.6</v>
      </c>
      <c r="O14" s="1">
        <v>133</v>
      </c>
      <c r="P14" s="1">
        <v>98.68</v>
      </c>
      <c r="Q14" s="1">
        <v>60.9</v>
      </c>
      <c r="R14" s="1">
        <v>52.9</v>
      </c>
      <c r="S14" s="1">
        <f t="shared" si="0"/>
        <v>92.25705882352942</v>
      </c>
      <c r="T14" s="1"/>
      <c r="U14" s="1"/>
    </row>
    <row r="15" spans="1:21" x14ac:dyDescent="0.25">
      <c r="A15">
        <v>1984</v>
      </c>
      <c r="B15" s="1">
        <v>35.200000000000003</v>
      </c>
      <c r="C15" s="1">
        <v>0</v>
      </c>
      <c r="D15" s="1">
        <v>49</v>
      </c>
      <c r="E15" s="1">
        <v>32.4</v>
      </c>
      <c r="F15" s="1">
        <v>76</v>
      </c>
      <c r="G15" s="1">
        <v>61.2</v>
      </c>
      <c r="H15" s="1">
        <v>134.4</v>
      </c>
      <c r="I15" s="1">
        <v>112</v>
      </c>
      <c r="J15" s="1">
        <v>37.799999999999997</v>
      </c>
      <c r="K15" s="1">
        <v>32.4</v>
      </c>
      <c r="L15" s="1">
        <v>60.91</v>
      </c>
      <c r="M15" s="1">
        <v>48</v>
      </c>
      <c r="N15" s="1">
        <v>0</v>
      </c>
      <c r="O15" s="1">
        <v>60.9</v>
      </c>
      <c r="P15" s="1">
        <v>32.9</v>
      </c>
      <c r="Q15" s="1">
        <v>61.2</v>
      </c>
      <c r="R15" s="1">
        <v>14.4</v>
      </c>
      <c r="S15" s="1">
        <f t="shared" si="0"/>
        <v>49.924117647058821</v>
      </c>
      <c r="T15" s="1"/>
      <c r="U15" s="1"/>
    </row>
    <row r="16" spans="1:21" x14ac:dyDescent="0.25">
      <c r="A16">
        <v>1985</v>
      </c>
      <c r="B16" s="1">
        <v>0</v>
      </c>
      <c r="C16" s="1">
        <v>26</v>
      </c>
      <c r="D16" s="1">
        <v>27</v>
      </c>
      <c r="E16" s="1">
        <v>29</v>
      </c>
      <c r="F16" s="1">
        <v>77.52</v>
      </c>
      <c r="G16" s="1">
        <v>61.6</v>
      </c>
      <c r="H16" s="1">
        <v>72</v>
      </c>
      <c r="I16" s="1">
        <v>129.19999999999999</v>
      </c>
      <c r="J16" s="1">
        <v>81.599999999999994</v>
      </c>
      <c r="K16" s="1">
        <v>36</v>
      </c>
      <c r="L16" s="1">
        <v>80.599999999999994</v>
      </c>
      <c r="M16" s="1">
        <v>33.799999999999997</v>
      </c>
      <c r="N16" s="1">
        <v>0</v>
      </c>
      <c r="O16" s="1">
        <v>71.3</v>
      </c>
      <c r="P16" s="1">
        <v>71.3</v>
      </c>
      <c r="Q16" s="1">
        <v>40.799999999999997</v>
      </c>
      <c r="R16" s="1">
        <v>62.4</v>
      </c>
      <c r="S16" s="1">
        <f t="shared" si="0"/>
        <v>52.948235294117637</v>
      </c>
      <c r="T16" s="1"/>
      <c r="U16" s="1"/>
    </row>
    <row r="17" spans="1:21" x14ac:dyDescent="0.25">
      <c r="A17">
        <v>1986</v>
      </c>
      <c r="B17" s="1">
        <v>69</v>
      </c>
      <c r="C17" s="1">
        <v>53</v>
      </c>
      <c r="D17" s="1">
        <v>70</v>
      </c>
      <c r="E17" s="1">
        <v>61</v>
      </c>
      <c r="F17" s="1">
        <v>56</v>
      </c>
      <c r="G17" s="1">
        <v>92</v>
      </c>
      <c r="H17" s="1">
        <v>85</v>
      </c>
      <c r="I17" s="1">
        <v>152</v>
      </c>
      <c r="J17" s="1">
        <v>99</v>
      </c>
      <c r="K17" s="1">
        <v>43</v>
      </c>
      <c r="L17" s="1">
        <v>99</v>
      </c>
      <c r="M17" s="1">
        <v>50</v>
      </c>
      <c r="N17" s="1">
        <v>171</v>
      </c>
      <c r="O17" s="1">
        <v>82</v>
      </c>
      <c r="P17" s="1">
        <v>80</v>
      </c>
      <c r="Q17" s="1">
        <v>76</v>
      </c>
      <c r="R17" s="1">
        <v>50</v>
      </c>
      <c r="S17" s="1">
        <f t="shared" si="0"/>
        <v>81.647058823529406</v>
      </c>
      <c r="T17" s="1"/>
      <c r="U17" s="1"/>
    </row>
    <row r="18" spans="1:21" x14ac:dyDescent="0.25">
      <c r="A18">
        <v>1987</v>
      </c>
      <c r="B18" s="1">
        <v>54</v>
      </c>
      <c r="C18" s="1">
        <v>114</v>
      </c>
      <c r="D18" s="1">
        <v>41</v>
      </c>
      <c r="E18" s="1">
        <v>50</v>
      </c>
      <c r="F18" s="1">
        <v>90</v>
      </c>
      <c r="G18" s="1">
        <v>56</v>
      </c>
      <c r="H18" s="1">
        <v>99</v>
      </c>
      <c r="I18" s="1">
        <v>130</v>
      </c>
      <c r="J18" s="1">
        <v>84</v>
      </c>
      <c r="K18" s="1">
        <v>36</v>
      </c>
      <c r="L18" s="1">
        <v>80</v>
      </c>
      <c r="M18" s="1">
        <v>140</v>
      </c>
      <c r="N18" s="1">
        <v>191</v>
      </c>
      <c r="O18" s="1">
        <v>98</v>
      </c>
      <c r="P18" s="1">
        <v>0</v>
      </c>
      <c r="Q18" s="1">
        <v>96</v>
      </c>
      <c r="R18" s="1">
        <v>58</v>
      </c>
      <c r="S18" s="1">
        <f t="shared" si="0"/>
        <v>83.352941176470594</v>
      </c>
      <c r="T18" s="1"/>
      <c r="U18" s="1"/>
    </row>
    <row r="19" spans="1:21" x14ac:dyDescent="0.25">
      <c r="A19">
        <v>1988</v>
      </c>
      <c r="B19" s="1">
        <v>57</v>
      </c>
      <c r="C19" s="1">
        <v>41</v>
      </c>
      <c r="D19" s="1">
        <v>38</v>
      </c>
      <c r="E19" s="1">
        <v>35</v>
      </c>
      <c r="F19" s="1">
        <v>56</v>
      </c>
      <c r="G19" s="1">
        <v>32</v>
      </c>
      <c r="H19" s="1">
        <v>61</v>
      </c>
      <c r="I19" s="1">
        <v>119</v>
      </c>
      <c r="J19" s="1">
        <v>55</v>
      </c>
      <c r="K19" s="1">
        <v>38</v>
      </c>
      <c r="L19" s="1">
        <v>59</v>
      </c>
      <c r="M19" s="1">
        <v>42</v>
      </c>
      <c r="N19" s="1">
        <v>158</v>
      </c>
      <c r="O19" s="1">
        <v>65</v>
      </c>
      <c r="P19" s="1">
        <v>75</v>
      </c>
      <c r="Q19" s="1">
        <v>53</v>
      </c>
      <c r="R19" s="1">
        <v>50</v>
      </c>
      <c r="S19" s="1">
        <f t="shared" si="0"/>
        <v>60.823529411764703</v>
      </c>
      <c r="T19" s="1"/>
      <c r="U19" s="1"/>
    </row>
    <row r="20" spans="1:21" x14ac:dyDescent="0.25">
      <c r="A20">
        <v>1989</v>
      </c>
      <c r="B20" s="1">
        <v>73</v>
      </c>
      <c r="C20" s="1">
        <v>47</v>
      </c>
      <c r="D20" s="1">
        <v>71</v>
      </c>
      <c r="E20" s="1">
        <v>57</v>
      </c>
      <c r="F20" s="1">
        <v>122</v>
      </c>
      <c r="G20" s="1">
        <v>96</v>
      </c>
      <c r="H20" s="1">
        <v>214</v>
      </c>
      <c r="I20" s="1">
        <v>220</v>
      </c>
      <c r="J20" s="1">
        <v>104</v>
      </c>
      <c r="K20" s="1">
        <v>58</v>
      </c>
      <c r="L20" s="1">
        <v>87</v>
      </c>
      <c r="M20" s="1">
        <v>87</v>
      </c>
      <c r="N20" s="1">
        <v>336</v>
      </c>
      <c r="O20" s="1">
        <v>180</v>
      </c>
      <c r="P20" s="1">
        <v>132</v>
      </c>
      <c r="Q20" s="1">
        <v>109</v>
      </c>
      <c r="R20" s="1">
        <v>140</v>
      </c>
      <c r="S20" s="1">
        <f t="shared" si="0"/>
        <v>125.47058823529412</v>
      </c>
      <c r="T20" s="1"/>
      <c r="U20" s="1"/>
    </row>
    <row r="21" spans="1:21" x14ac:dyDescent="0.25">
      <c r="A21">
        <v>1990</v>
      </c>
      <c r="B21" s="1">
        <v>57</v>
      </c>
      <c r="C21" s="1">
        <v>21</v>
      </c>
      <c r="D21" s="1">
        <v>68</v>
      </c>
      <c r="E21" s="1">
        <v>37</v>
      </c>
      <c r="F21" s="1">
        <v>59</v>
      </c>
      <c r="G21" s="1">
        <v>29</v>
      </c>
      <c r="H21" s="1">
        <v>143</v>
      </c>
      <c r="I21" s="1">
        <v>125</v>
      </c>
      <c r="J21" s="1">
        <v>54</v>
      </c>
      <c r="K21" s="1">
        <v>53</v>
      </c>
      <c r="L21" s="1">
        <v>98</v>
      </c>
      <c r="M21" s="1">
        <v>38</v>
      </c>
      <c r="N21" s="1">
        <v>244</v>
      </c>
      <c r="O21" s="1">
        <v>93</v>
      </c>
      <c r="P21" s="1">
        <v>65</v>
      </c>
      <c r="Q21" s="1">
        <v>60</v>
      </c>
      <c r="R21" s="1">
        <v>68</v>
      </c>
      <c r="S21" s="1">
        <f t="shared" si="0"/>
        <v>77.17647058823529</v>
      </c>
      <c r="T21" s="1"/>
      <c r="U21" s="1"/>
    </row>
    <row r="22" spans="1:21" x14ac:dyDescent="0.25">
      <c r="A22">
        <v>1991</v>
      </c>
      <c r="B22" s="1">
        <v>40</v>
      </c>
      <c r="C22" s="1">
        <v>20</v>
      </c>
      <c r="D22" s="1">
        <v>30</v>
      </c>
      <c r="E22" s="1">
        <v>24</v>
      </c>
      <c r="F22" s="1">
        <v>71</v>
      </c>
      <c r="G22" s="1">
        <v>44</v>
      </c>
      <c r="H22" s="1">
        <v>58</v>
      </c>
      <c r="I22" s="1">
        <v>67</v>
      </c>
      <c r="J22" s="1">
        <v>54</v>
      </c>
      <c r="K22" s="1">
        <v>42</v>
      </c>
      <c r="L22" s="1">
        <v>62</v>
      </c>
      <c r="M22" s="1">
        <v>23</v>
      </c>
      <c r="N22" s="1">
        <v>95</v>
      </c>
      <c r="O22" s="1">
        <v>67</v>
      </c>
      <c r="P22" s="1">
        <v>58</v>
      </c>
      <c r="Q22" s="1">
        <v>62</v>
      </c>
      <c r="R22" s="1">
        <v>68</v>
      </c>
      <c r="S22" s="1">
        <f t="shared" si="0"/>
        <v>52.058823529411768</v>
      </c>
      <c r="T22" s="1"/>
      <c r="U22" s="1"/>
    </row>
    <row r="23" spans="1:21" x14ac:dyDescent="0.25">
      <c r="A23">
        <v>1992</v>
      </c>
      <c r="B23" s="1">
        <v>58</v>
      </c>
      <c r="C23" s="1">
        <v>40</v>
      </c>
      <c r="D23" s="1">
        <v>62</v>
      </c>
      <c r="E23" s="1">
        <v>70</v>
      </c>
      <c r="F23" s="1">
        <v>90</v>
      </c>
      <c r="G23" s="1">
        <v>69</v>
      </c>
      <c r="H23" s="1">
        <v>158</v>
      </c>
      <c r="I23" s="1">
        <v>192</v>
      </c>
      <c r="J23" s="1">
        <v>87</v>
      </c>
      <c r="K23" s="1">
        <v>41</v>
      </c>
      <c r="L23" s="1">
        <v>126</v>
      </c>
      <c r="M23" s="1">
        <v>81</v>
      </c>
      <c r="N23" s="1">
        <v>248</v>
      </c>
      <c r="O23" s="1">
        <v>132</v>
      </c>
      <c r="P23" s="1">
        <v>52</v>
      </c>
      <c r="Q23" s="1">
        <v>106</v>
      </c>
      <c r="R23" s="1">
        <v>73</v>
      </c>
      <c r="S23" s="1">
        <f t="shared" si="0"/>
        <v>99.117647058823536</v>
      </c>
      <c r="T23" s="1"/>
      <c r="U23" s="1"/>
    </row>
    <row r="24" spans="1:21" x14ac:dyDescent="0.25">
      <c r="A24">
        <v>1993</v>
      </c>
      <c r="B24" s="1">
        <v>65</v>
      </c>
      <c r="C24" s="1">
        <v>22</v>
      </c>
      <c r="D24" s="1">
        <v>70</v>
      </c>
      <c r="E24" s="1">
        <v>53</v>
      </c>
      <c r="F24" s="1">
        <v>81</v>
      </c>
      <c r="G24" s="1">
        <v>84</v>
      </c>
      <c r="H24" s="1">
        <v>134</v>
      </c>
      <c r="I24" s="1">
        <v>200</v>
      </c>
      <c r="J24" s="1">
        <v>109</v>
      </c>
      <c r="K24" s="1">
        <v>29</v>
      </c>
      <c r="L24" s="1">
        <v>88</v>
      </c>
      <c r="M24" s="1">
        <v>76</v>
      </c>
      <c r="N24" s="1">
        <v>224</v>
      </c>
      <c r="O24" s="1">
        <v>155</v>
      </c>
      <c r="P24" s="1">
        <v>150</v>
      </c>
      <c r="Q24" s="1">
        <v>56</v>
      </c>
      <c r="R24" s="1">
        <v>58</v>
      </c>
      <c r="S24" s="1">
        <f t="shared" si="0"/>
        <v>97.294117647058826</v>
      </c>
      <c r="T24" s="1"/>
      <c r="U24" s="1"/>
    </row>
    <row r="25" spans="1:21" x14ac:dyDescent="0.25">
      <c r="A25">
        <v>1994</v>
      </c>
      <c r="B25" s="1">
        <v>57</v>
      </c>
      <c r="C25" s="1">
        <v>87</v>
      </c>
      <c r="D25" s="1">
        <v>58</v>
      </c>
      <c r="E25" s="1">
        <v>63</v>
      </c>
      <c r="F25" s="1">
        <v>92</v>
      </c>
      <c r="G25" s="1">
        <v>82</v>
      </c>
      <c r="H25" s="1">
        <v>109</v>
      </c>
      <c r="I25" s="1">
        <v>58</v>
      </c>
      <c r="J25" s="1">
        <v>93</v>
      </c>
      <c r="K25" s="1">
        <v>44</v>
      </c>
      <c r="L25" s="1">
        <v>102</v>
      </c>
      <c r="M25" s="1">
        <v>70</v>
      </c>
      <c r="N25" s="1">
        <v>190</v>
      </c>
      <c r="O25" s="1">
        <v>122</v>
      </c>
      <c r="P25" s="1">
        <v>136</v>
      </c>
      <c r="Q25" s="1">
        <v>73</v>
      </c>
      <c r="R25" s="1">
        <v>119</v>
      </c>
      <c r="S25" s="1">
        <f t="shared" si="0"/>
        <v>91.470588235294116</v>
      </c>
      <c r="T25" s="1"/>
      <c r="U25" s="1"/>
    </row>
    <row r="26" spans="1:21" x14ac:dyDescent="0.25">
      <c r="A26">
        <v>1995</v>
      </c>
      <c r="B26" s="1">
        <v>53</v>
      </c>
      <c r="C26" s="1">
        <v>52</v>
      </c>
      <c r="D26" s="1">
        <v>28</v>
      </c>
      <c r="E26" s="1">
        <v>75</v>
      </c>
      <c r="F26" s="1">
        <v>105</v>
      </c>
      <c r="G26" s="1">
        <v>99</v>
      </c>
      <c r="H26" s="1">
        <v>96</v>
      </c>
      <c r="I26" s="1">
        <v>73</v>
      </c>
      <c r="J26" s="1">
        <v>55</v>
      </c>
      <c r="K26" s="1">
        <v>43</v>
      </c>
      <c r="L26" s="1">
        <v>75</v>
      </c>
      <c r="M26" s="1">
        <v>53</v>
      </c>
      <c r="N26" s="1">
        <v>158</v>
      </c>
      <c r="O26" s="1">
        <v>140</v>
      </c>
      <c r="P26" s="1">
        <v>68</v>
      </c>
      <c r="Q26" s="1">
        <v>67</v>
      </c>
      <c r="R26" s="1">
        <v>86</v>
      </c>
      <c r="S26" s="1">
        <f t="shared" si="0"/>
        <v>78</v>
      </c>
      <c r="T26" s="1"/>
      <c r="U26" s="1"/>
    </row>
    <row r="27" spans="1:21" x14ac:dyDescent="0.25">
      <c r="A27">
        <v>1996</v>
      </c>
      <c r="B27" s="1">
        <v>41</v>
      </c>
      <c r="C27" s="1">
        <v>0</v>
      </c>
      <c r="D27" s="1">
        <v>22</v>
      </c>
      <c r="E27" s="1">
        <v>27</v>
      </c>
      <c r="F27" s="1">
        <v>56</v>
      </c>
      <c r="G27" s="1">
        <v>37</v>
      </c>
      <c r="H27" s="1">
        <v>36</v>
      </c>
      <c r="I27" s="1">
        <v>109</v>
      </c>
      <c r="J27" s="1">
        <v>84</v>
      </c>
      <c r="K27" s="1">
        <v>27</v>
      </c>
      <c r="L27" s="1">
        <v>109</v>
      </c>
      <c r="M27" s="1">
        <v>76</v>
      </c>
      <c r="N27" s="1">
        <v>148</v>
      </c>
      <c r="O27" s="1">
        <v>65</v>
      </c>
      <c r="P27" s="1">
        <v>58</v>
      </c>
      <c r="Q27" s="1">
        <v>40</v>
      </c>
      <c r="R27" s="1">
        <v>30</v>
      </c>
      <c r="S27" s="1">
        <f t="shared" si="0"/>
        <v>56.764705882352942</v>
      </c>
      <c r="T27" s="1"/>
      <c r="U27" s="1"/>
    </row>
    <row r="28" spans="1:21" x14ac:dyDescent="0.25">
      <c r="A28">
        <v>1997</v>
      </c>
      <c r="B28" s="1">
        <v>74</v>
      </c>
      <c r="C28" s="1">
        <v>104</v>
      </c>
      <c r="D28" s="1">
        <v>56</v>
      </c>
      <c r="E28" s="1">
        <v>75</v>
      </c>
      <c r="F28" s="1">
        <v>129</v>
      </c>
      <c r="G28" s="1">
        <v>112</v>
      </c>
      <c r="H28" s="1">
        <v>117</v>
      </c>
      <c r="I28" s="1">
        <v>152</v>
      </c>
      <c r="J28" s="1">
        <v>99</v>
      </c>
      <c r="K28" s="1">
        <v>55</v>
      </c>
      <c r="L28" s="1">
        <v>118</v>
      </c>
      <c r="M28" s="1">
        <v>81</v>
      </c>
      <c r="N28" s="1">
        <v>264</v>
      </c>
      <c r="O28" s="1">
        <v>168</v>
      </c>
      <c r="P28" s="1">
        <v>140</v>
      </c>
      <c r="Q28" s="1">
        <v>108</v>
      </c>
      <c r="R28" s="1">
        <v>105</v>
      </c>
      <c r="S28" s="1">
        <f t="shared" si="0"/>
        <v>115.11764705882354</v>
      </c>
      <c r="T28" s="1"/>
      <c r="U28" s="1"/>
    </row>
    <row r="29" spans="1:21" x14ac:dyDescent="0.25">
      <c r="A29">
        <v>1998</v>
      </c>
      <c r="B29" s="1">
        <v>66</v>
      </c>
      <c r="C29" s="1">
        <v>61</v>
      </c>
      <c r="D29" s="1">
        <v>51</v>
      </c>
      <c r="E29" s="1">
        <v>67</v>
      </c>
      <c r="F29" s="1">
        <v>86</v>
      </c>
      <c r="G29" s="1">
        <v>53</v>
      </c>
      <c r="H29" s="1">
        <v>95</v>
      </c>
      <c r="I29" s="1">
        <v>152</v>
      </c>
      <c r="J29" s="1">
        <v>133</v>
      </c>
      <c r="K29" s="1">
        <v>0</v>
      </c>
      <c r="L29" s="1">
        <v>137</v>
      </c>
      <c r="M29" s="1">
        <v>93</v>
      </c>
      <c r="N29" s="1">
        <v>216</v>
      </c>
      <c r="O29" s="1">
        <v>112</v>
      </c>
      <c r="P29" s="1">
        <v>98</v>
      </c>
      <c r="Q29" s="1">
        <v>122</v>
      </c>
      <c r="R29" s="1">
        <v>71</v>
      </c>
      <c r="S29" s="1">
        <f t="shared" si="0"/>
        <v>94.882352941176464</v>
      </c>
      <c r="T29" s="1"/>
      <c r="U29" s="1"/>
    </row>
    <row r="30" spans="1:21" x14ac:dyDescent="0.25">
      <c r="A30">
        <v>1999</v>
      </c>
      <c r="B30" s="1">
        <v>13</v>
      </c>
      <c r="C30" s="1">
        <v>28</v>
      </c>
      <c r="D30" s="1">
        <v>29</v>
      </c>
      <c r="E30" s="1">
        <v>14</v>
      </c>
      <c r="F30" s="1">
        <v>95</v>
      </c>
      <c r="G30" s="1">
        <v>32</v>
      </c>
      <c r="H30" s="1">
        <v>73</v>
      </c>
      <c r="I30" s="1">
        <v>185</v>
      </c>
      <c r="J30" s="1">
        <v>122</v>
      </c>
      <c r="K30" s="1">
        <v>44</v>
      </c>
      <c r="L30" s="1">
        <v>73</v>
      </c>
      <c r="M30" s="1">
        <v>0</v>
      </c>
      <c r="N30" s="1">
        <v>243</v>
      </c>
      <c r="O30" s="1">
        <v>95</v>
      </c>
      <c r="P30" s="1">
        <v>20</v>
      </c>
      <c r="Q30" s="1">
        <v>15</v>
      </c>
      <c r="R30" s="1">
        <v>74</v>
      </c>
      <c r="S30" s="1">
        <f t="shared" si="0"/>
        <v>67.941176470588232</v>
      </c>
      <c r="T30" s="1"/>
      <c r="U30" s="1"/>
    </row>
    <row r="31" spans="1:21" x14ac:dyDescent="0.25">
      <c r="A31">
        <v>2000</v>
      </c>
      <c r="B31" s="1">
        <v>61</v>
      </c>
      <c r="C31" s="1">
        <v>20</v>
      </c>
      <c r="D31" s="1">
        <v>34</v>
      </c>
      <c r="E31" s="1">
        <v>42</v>
      </c>
      <c r="F31" s="1">
        <v>92</v>
      </c>
      <c r="G31" s="1">
        <v>19</v>
      </c>
      <c r="H31" s="1">
        <v>99</v>
      </c>
      <c r="I31" s="1">
        <v>129</v>
      </c>
      <c r="J31" s="1">
        <v>81</v>
      </c>
      <c r="K31" s="1">
        <v>44</v>
      </c>
      <c r="L31" s="1">
        <v>106</v>
      </c>
      <c r="M31" s="1">
        <v>49</v>
      </c>
      <c r="N31" s="1">
        <v>192</v>
      </c>
      <c r="O31" s="1">
        <v>84</v>
      </c>
      <c r="P31" s="1">
        <v>42</v>
      </c>
      <c r="Q31" s="1">
        <v>41</v>
      </c>
      <c r="R31" s="1">
        <v>73</v>
      </c>
      <c r="S31" s="1">
        <f t="shared" si="0"/>
        <v>71.058823529411768</v>
      </c>
      <c r="T31" s="1"/>
      <c r="U31" s="1"/>
    </row>
    <row r="32" spans="1:21" x14ac:dyDescent="0.25">
      <c r="A32">
        <v>2001</v>
      </c>
      <c r="B32" s="1">
        <v>84</v>
      </c>
      <c r="C32" s="1">
        <v>20</v>
      </c>
      <c r="D32" s="1">
        <v>68</v>
      </c>
      <c r="E32" s="1">
        <v>50</v>
      </c>
      <c r="F32" s="1">
        <v>125</v>
      </c>
      <c r="G32" s="1">
        <v>75</v>
      </c>
      <c r="H32" s="1">
        <v>119</v>
      </c>
      <c r="I32" s="1">
        <v>182</v>
      </c>
      <c r="J32" s="1">
        <v>117</v>
      </c>
      <c r="K32" s="1">
        <v>70</v>
      </c>
      <c r="L32" s="1">
        <v>97</v>
      </c>
      <c r="M32" s="1">
        <v>124</v>
      </c>
      <c r="N32" s="1">
        <v>197</v>
      </c>
      <c r="O32" s="1">
        <v>101</v>
      </c>
      <c r="P32" s="1">
        <v>61</v>
      </c>
      <c r="Q32" s="1">
        <v>65</v>
      </c>
      <c r="R32" s="1">
        <v>126</v>
      </c>
      <c r="S32" s="1">
        <f t="shared" si="0"/>
        <v>98.882352941176464</v>
      </c>
      <c r="T32" s="1"/>
      <c r="U32" s="1"/>
    </row>
    <row r="33" spans="1:21" x14ac:dyDescent="0.25">
      <c r="A33">
        <v>2002</v>
      </c>
      <c r="B33" s="1">
        <v>106</v>
      </c>
      <c r="C33" s="1">
        <v>27</v>
      </c>
      <c r="D33" s="1">
        <v>55</v>
      </c>
      <c r="E33" s="1">
        <v>32</v>
      </c>
      <c r="F33" s="1">
        <v>74</v>
      </c>
      <c r="G33" s="1">
        <v>66</v>
      </c>
      <c r="H33" s="1">
        <v>95</v>
      </c>
      <c r="I33" s="1">
        <v>105</v>
      </c>
      <c r="J33" s="1">
        <v>93</v>
      </c>
      <c r="K33" s="1">
        <v>49</v>
      </c>
      <c r="L33" s="1">
        <v>70</v>
      </c>
      <c r="M33" s="1">
        <v>29</v>
      </c>
      <c r="N33" s="1">
        <v>176</v>
      </c>
      <c r="O33" s="1">
        <v>109</v>
      </c>
      <c r="P33" s="1">
        <v>91</v>
      </c>
      <c r="Q33" s="1">
        <v>46</v>
      </c>
      <c r="R33" s="1">
        <v>61</v>
      </c>
      <c r="S33" s="1">
        <f t="shared" si="0"/>
        <v>75.529411764705884</v>
      </c>
      <c r="T33" s="1"/>
      <c r="U33" s="1"/>
    </row>
    <row r="34" spans="1:21" x14ac:dyDescent="0.25">
      <c r="A34">
        <v>2003</v>
      </c>
      <c r="B34" s="1">
        <v>65</v>
      </c>
      <c r="C34" s="1">
        <v>67</v>
      </c>
      <c r="D34" s="1">
        <v>36</v>
      </c>
      <c r="E34" s="1">
        <v>32</v>
      </c>
      <c r="F34" s="1">
        <v>57</v>
      </c>
      <c r="G34" s="1">
        <v>29</v>
      </c>
      <c r="H34" s="1">
        <v>60</v>
      </c>
      <c r="I34" s="1">
        <v>109</v>
      </c>
      <c r="J34" s="1">
        <v>68</v>
      </c>
      <c r="K34" s="1">
        <v>32</v>
      </c>
      <c r="L34" s="1">
        <v>87</v>
      </c>
      <c r="M34" s="1">
        <v>43</v>
      </c>
      <c r="N34" s="1">
        <v>101</v>
      </c>
      <c r="O34" s="1">
        <v>44</v>
      </c>
      <c r="P34" s="1">
        <v>43</v>
      </c>
      <c r="Q34" s="1">
        <v>79</v>
      </c>
      <c r="R34" s="1">
        <v>52</v>
      </c>
      <c r="S34" s="1">
        <f t="shared" si="0"/>
        <v>59.058823529411768</v>
      </c>
      <c r="T34" s="1"/>
      <c r="U34" s="1"/>
    </row>
    <row r="35" spans="1:21" x14ac:dyDescent="0.25">
      <c r="A35">
        <v>2004</v>
      </c>
      <c r="B35" s="1">
        <v>84</v>
      </c>
      <c r="C35" s="1">
        <v>0</v>
      </c>
      <c r="D35" s="1">
        <v>39</v>
      </c>
      <c r="E35" s="1">
        <v>36</v>
      </c>
      <c r="F35" s="1">
        <v>99</v>
      </c>
      <c r="G35" s="1">
        <v>24</v>
      </c>
      <c r="H35" s="1">
        <v>86</v>
      </c>
      <c r="I35" s="1">
        <v>32</v>
      </c>
      <c r="J35" s="1">
        <v>51</v>
      </c>
      <c r="K35" s="1">
        <v>48</v>
      </c>
      <c r="L35" s="1">
        <v>56</v>
      </c>
      <c r="M35" s="1">
        <v>32</v>
      </c>
      <c r="N35" s="1">
        <v>129</v>
      </c>
      <c r="O35" s="1">
        <v>51</v>
      </c>
      <c r="P35" s="1">
        <v>74</v>
      </c>
      <c r="Q35" s="1">
        <v>24</v>
      </c>
      <c r="R35" s="1">
        <v>69</v>
      </c>
      <c r="S35" s="1">
        <f t="shared" si="0"/>
        <v>54.941176470588232</v>
      </c>
      <c r="T35" s="1"/>
      <c r="U35" s="1"/>
    </row>
    <row r="36" spans="1:21" x14ac:dyDescent="0.25">
      <c r="A36">
        <v>2005</v>
      </c>
      <c r="B36" s="1">
        <v>90</v>
      </c>
      <c r="C36" s="1">
        <v>31</v>
      </c>
      <c r="D36" s="1">
        <v>57</v>
      </c>
      <c r="E36" s="1">
        <v>99</v>
      </c>
      <c r="F36" s="1">
        <v>78</v>
      </c>
      <c r="G36" s="1">
        <v>70</v>
      </c>
      <c r="H36" s="1">
        <v>100</v>
      </c>
      <c r="I36" s="1">
        <v>109</v>
      </c>
      <c r="J36" s="1">
        <v>73</v>
      </c>
      <c r="K36" s="1">
        <v>48</v>
      </c>
      <c r="L36" s="1">
        <v>65</v>
      </c>
      <c r="M36" s="1">
        <v>76</v>
      </c>
      <c r="N36" s="1">
        <v>228</v>
      </c>
      <c r="O36" s="1">
        <v>78</v>
      </c>
      <c r="P36" s="1">
        <v>55</v>
      </c>
      <c r="Q36" s="1">
        <v>86</v>
      </c>
      <c r="R36" s="1">
        <v>43</v>
      </c>
      <c r="S36" s="1">
        <f t="shared" si="0"/>
        <v>81.529411764705884</v>
      </c>
      <c r="T36" s="1"/>
      <c r="U36" s="1"/>
    </row>
    <row r="37" spans="1:21" x14ac:dyDescent="0.25">
      <c r="A37">
        <v>2006</v>
      </c>
      <c r="B37" s="1">
        <v>40</v>
      </c>
      <c r="C37" s="1">
        <v>62</v>
      </c>
      <c r="D37" s="1">
        <v>21</v>
      </c>
      <c r="E37" s="1">
        <v>46</v>
      </c>
      <c r="F37" s="1">
        <v>41</v>
      </c>
      <c r="G37" s="1">
        <v>26</v>
      </c>
      <c r="H37" s="1">
        <v>44</v>
      </c>
      <c r="I37" s="1">
        <v>58</v>
      </c>
      <c r="J37" s="1">
        <v>40</v>
      </c>
      <c r="K37" s="1">
        <v>17</v>
      </c>
      <c r="L37" s="1">
        <v>57</v>
      </c>
      <c r="M37" s="1">
        <v>46</v>
      </c>
      <c r="N37" s="1">
        <v>70</v>
      </c>
      <c r="O37" s="1">
        <v>34</v>
      </c>
      <c r="P37" s="1">
        <v>49</v>
      </c>
      <c r="Q37" s="1">
        <v>118</v>
      </c>
      <c r="R37" s="1">
        <v>58</v>
      </c>
      <c r="S37" s="1">
        <f t="shared" si="0"/>
        <v>48.647058823529413</v>
      </c>
      <c r="T37" s="1"/>
      <c r="U37" s="1"/>
    </row>
    <row r="38" spans="1:21" x14ac:dyDescent="0.25">
      <c r="A38">
        <v>2007</v>
      </c>
      <c r="B38" s="1">
        <v>24</v>
      </c>
      <c r="C38" s="1">
        <v>14</v>
      </c>
      <c r="D38" s="1">
        <v>56</v>
      </c>
      <c r="E38" s="1">
        <v>51</v>
      </c>
      <c r="F38" s="1">
        <v>98</v>
      </c>
      <c r="G38" s="1">
        <v>116</v>
      </c>
      <c r="H38" s="1">
        <v>73</v>
      </c>
      <c r="I38" s="1">
        <v>109</v>
      </c>
      <c r="J38" s="1">
        <v>70</v>
      </c>
      <c r="K38" s="1">
        <v>42</v>
      </c>
      <c r="L38" s="1">
        <v>90</v>
      </c>
      <c r="M38" s="1">
        <v>72</v>
      </c>
      <c r="N38" s="1">
        <v>182</v>
      </c>
      <c r="O38" s="1">
        <v>130</v>
      </c>
      <c r="P38" s="1">
        <v>55</v>
      </c>
      <c r="Q38" s="1">
        <v>36</v>
      </c>
      <c r="R38" s="1">
        <v>102</v>
      </c>
      <c r="S38" s="1">
        <f t="shared" si="0"/>
        <v>77.647058823529406</v>
      </c>
      <c r="T38" s="1"/>
      <c r="U38" s="1"/>
    </row>
    <row r="39" spans="1:21" x14ac:dyDescent="0.25">
      <c r="A39">
        <v>2008</v>
      </c>
      <c r="B39" s="1">
        <v>98</v>
      </c>
      <c r="C39" s="1">
        <v>31</v>
      </c>
      <c r="D39" s="1">
        <v>40</v>
      </c>
      <c r="E39" s="1">
        <v>43</v>
      </c>
      <c r="F39" s="1">
        <v>46</v>
      </c>
      <c r="G39" s="1">
        <v>53</v>
      </c>
      <c r="H39" s="1">
        <v>53</v>
      </c>
      <c r="I39" s="1">
        <v>116</v>
      </c>
      <c r="J39" s="1">
        <v>76</v>
      </c>
      <c r="K39" s="1">
        <v>30</v>
      </c>
      <c r="L39" s="1">
        <v>87</v>
      </c>
      <c r="M39" s="1">
        <v>71</v>
      </c>
      <c r="N39" s="1">
        <v>167</v>
      </c>
      <c r="O39" s="1">
        <v>78</v>
      </c>
      <c r="P39" s="1">
        <v>55</v>
      </c>
      <c r="Q39" s="1">
        <v>46</v>
      </c>
      <c r="R39" s="1">
        <v>52</v>
      </c>
      <c r="S39" s="1">
        <f t="shared" si="0"/>
        <v>67.17647058823529</v>
      </c>
      <c r="T39" s="1"/>
      <c r="U39" s="1"/>
    </row>
    <row r="40" spans="1:21" x14ac:dyDescent="0.25">
      <c r="A40">
        <v>2009</v>
      </c>
      <c r="B40" s="1">
        <v>52</v>
      </c>
      <c r="C40" s="1">
        <v>68</v>
      </c>
      <c r="D40" s="1">
        <v>18</v>
      </c>
      <c r="E40" s="1">
        <v>78</v>
      </c>
      <c r="F40" s="1">
        <v>52</v>
      </c>
      <c r="G40" s="1">
        <v>54</v>
      </c>
      <c r="H40" s="1">
        <v>29</v>
      </c>
      <c r="I40" s="1">
        <v>71</v>
      </c>
      <c r="J40" s="1">
        <v>39</v>
      </c>
      <c r="K40" s="1">
        <v>23</v>
      </c>
      <c r="L40" s="1">
        <v>58</v>
      </c>
      <c r="M40" s="1">
        <v>83</v>
      </c>
      <c r="N40" s="1">
        <v>83</v>
      </c>
      <c r="O40" s="1">
        <v>47</v>
      </c>
      <c r="P40" s="1">
        <v>48</v>
      </c>
      <c r="Q40" s="1">
        <v>29</v>
      </c>
      <c r="R40" s="1">
        <v>45</v>
      </c>
      <c r="S40" s="1">
        <f t="shared" si="0"/>
        <v>51.588235294117645</v>
      </c>
      <c r="T40" s="1"/>
      <c r="U40" s="1"/>
    </row>
    <row r="41" spans="1:21" x14ac:dyDescent="0.25">
      <c r="A41">
        <v>2010</v>
      </c>
      <c r="B41" s="1">
        <v>108</v>
      </c>
      <c r="C41" s="1">
        <v>42</v>
      </c>
      <c r="D41" s="1">
        <v>21</v>
      </c>
      <c r="E41" s="1">
        <v>28</v>
      </c>
      <c r="F41" s="1">
        <v>96</v>
      </c>
      <c r="G41" s="1">
        <v>22</v>
      </c>
      <c r="H41" s="1">
        <v>52</v>
      </c>
      <c r="I41" s="1">
        <v>48</v>
      </c>
      <c r="J41" s="1">
        <v>42</v>
      </c>
      <c r="K41" s="1">
        <v>35</v>
      </c>
      <c r="L41" s="1">
        <v>46</v>
      </c>
      <c r="M41" s="1">
        <v>19</v>
      </c>
      <c r="N41" s="1">
        <v>19</v>
      </c>
      <c r="O41" s="1">
        <v>78</v>
      </c>
      <c r="P41" s="1">
        <v>23</v>
      </c>
      <c r="Q41" s="1">
        <v>24</v>
      </c>
      <c r="R41" s="1">
        <v>90</v>
      </c>
      <c r="S41" s="1">
        <f t="shared" si="0"/>
        <v>46.647058823529413</v>
      </c>
      <c r="T41" s="1"/>
      <c r="U41" s="1"/>
    </row>
    <row r="42" spans="1:21" x14ac:dyDescent="0.25">
      <c r="A42">
        <v>2011</v>
      </c>
      <c r="B42" s="1">
        <v>80</v>
      </c>
      <c r="C42" s="1">
        <v>31</v>
      </c>
      <c r="D42" s="1">
        <v>17</v>
      </c>
      <c r="E42" s="1">
        <v>22</v>
      </c>
      <c r="F42" s="1">
        <v>61</v>
      </c>
      <c r="G42" s="1">
        <v>57</v>
      </c>
      <c r="H42" s="1">
        <v>44</v>
      </c>
      <c r="I42" s="1">
        <v>60</v>
      </c>
      <c r="J42" s="1">
        <v>42</v>
      </c>
      <c r="K42" s="1">
        <v>33</v>
      </c>
      <c r="L42" s="1">
        <v>83</v>
      </c>
      <c r="M42" s="1">
        <v>0</v>
      </c>
      <c r="N42" s="1">
        <v>72</v>
      </c>
      <c r="O42" s="1">
        <v>71</v>
      </c>
      <c r="P42" s="1">
        <v>54</v>
      </c>
      <c r="Q42" s="1">
        <v>36</v>
      </c>
      <c r="R42" s="1">
        <v>84</v>
      </c>
      <c r="S42" s="1">
        <f t="shared" si="0"/>
        <v>49.823529411764703</v>
      </c>
      <c r="T42" s="1"/>
      <c r="U42" s="1"/>
    </row>
    <row r="43" spans="1:21" x14ac:dyDescent="0.25">
      <c r="A43">
        <v>2012</v>
      </c>
      <c r="B43" s="1">
        <v>95</v>
      </c>
      <c r="C43" s="1">
        <v>52</v>
      </c>
      <c r="D43" s="1">
        <v>31</v>
      </c>
      <c r="E43" s="1">
        <v>57</v>
      </c>
      <c r="F43" s="1">
        <v>52</v>
      </c>
      <c r="G43" s="1">
        <v>40</v>
      </c>
      <c r="H43" s="1">
        <v>50</v>
      </c>
      <c r="I43" s="1">
        <v>62</v>
      </c>
      <c r="J43" s="1">
        <v>60</v>
      </c>
      <c r="K43" s="1">
        <v>31</v>
      </c>
      <c r="L43" s="1">
        <v>57</v>
      </c>
      <c r="M43" s="1">
        <v>72</v>
      </c>
      <c r="N43" s="1">
        <v>147</v>
      </c>
      <c r="O43" s="1">
        <v>87</v>
      </c>
      <c r="P43" s="1">
        <v>105</v>
      </c>
      <c r="Q43" s="1">
        <v>51</v>
      </c>
      <c r="R43" s="1">
        <v>94</v>
      </c>
      <c r="S43" s="1">
        <f t="shared" si="0"/>
        <v>67.235294117647058</v>
      </c>
      <c r="T43" s="1"/>
      <c r="U43" s="1"/>
    </row>
    <row r="44" spans="1:21" x14ac:dyDescent="0.25">
      <c r="A44">
        <v>2013</v>
      </c>
      <c r="B44" s="1">
        <v>60</v>
      </c>
      <c r="C44" s="1">
        <v>9</v>
      </c>
      <c r="D44" s="1">
        <v>38</v>
      </c>
      <c r="E44" s="1">
        <v>28</v>
      </c>
      <c r="F44" s="1">
        <v>49</v>
      </c>
      <c r="G44" s="1">
        <v>48</v>
      </c>
      <c r="H44" s="1">
        <v>61</v>
      </c>
      <c r="I44" s="1">
        <v>92</v>
      </c>
      <c r="J44" s="1">
        <v>70</v>
      </c>
      <c r="K44" s="1">
        <v>29</v>
      </c>
      <c r="L44" s="1">
        <v>50</v>
      </c>
      <c r="M44" s="1">
        <v>32</v>
      </c>
      <c r="N44" s="1">
        <v>97</v>
      </c>
      <c r="O44" s="1">
        <v>42</v>
      </c>
      <c r="P44" s="1">
        <v>37</v>
      </c>
      <c r="Q44" s="1">
        <v>37</v>
      </c>
      <c r="R44" s="1">
        <v>63</v>
      </c>
      <c r="S44" s="1">
        <f t="shared" si="0"/>
        <v>49.529411764705884</v>
      </c>
      <c r="T44" s="1"/>
      <c r="U44" s="1"/>
    </row>
    <row r="45" spans="1:21" x14ac:dyDescent="0.25">
      <c r="A45">
        <v>2014</v>
      </c>
      <c r="B45" s="1">
        <v>130</v>
      </c>
      <c r="C45" s="1">
        <v>51</v>
      </c>
      <c r="D45" s="1">
        <v>78</v>
      </c>
      <c r="E45" s="1">
        <v>51</v>
      </c>
      <c r="F45" s="1">
        <v>101</v>
      </c>
      <c r="G45" s="1">
        <v>125</v>
      </c>
      <c r="H45" s="1">
        <v>78</v>
      </c>
      <c r="I45" s="1">
        <v>151</v>
      </c>
      <c r="J45" s="1">
        <v>83</v>
      </c>
      <c r="K45" s="1">
        <v>43</v>
      </c>
      <c r="L45" s="1">
        <v>79</v>
      </c>
      <c r="M45" s="1">
        <v>73</v>
      </c>
      <c r="N45" s="1">
        <v>221</v>
      </c>
      <c r="O45" s="1">
        <v>162</v>
      </c>
      <c r="P45" s="1">
        <v>84</v>
      </c>
      <c r="Q45" s="1">
        <v>44</v>
      </c>
      <c r="R45" s="1">
        <v>137</v>
      </c>
      <c r="S45" s="1">
        <f t="shared" si="0"/>
        <v>99.470588235294116</v>
      </c>
      <c r="T45" s="1"/>
      <c r="U45" s="1"/>
    </row>
    <row r="46" spans="1:21" x14ac:dyDescent="0.25">
      <c r="A46">
        <v>2015</v>
      </c>
      <c r="B46" s="1">
        <v>83</v>
      </c>
      <c r="C46" s="1">
        <v>36</v>
      </c>
      <c r="D46" s="1">
        <v>49</v>
      </c>
      <c r="E46" s="1">
        <v>52</v>
      </c>
      <c r="F46" s="1">
        <v>81</v>
      </c>
      <c r="G46" s="1">
        <v>106</v>
      </c>
      <c r="H46" s="1">
        <v>87</v>
      </c>
      <c r="I46" s="1">
        <v>83</v>
      </c>
      <c r="J46" s="1">
        <v>95</v>
      </c>
      <c r="K46" s="1">
        <v>68</v>
      </c>
      <c r="L46" s="1">
        <v>74</v>
      </c>
      <c r="M46" s="1">
        <v>104</v>
      </c>
      <c r="N46" s="1">
        <v>175</v>
      </c>
      <c r="O46" s="1">
        <v>133</v>
      </c>
      <c r="P46" s="1">
        <v>42</v>
      </c>
      <c r="Q46" s="1">
        <v>51</v>
      </c>
      <c r="R46" s="1">
        <v>106</v>
      </c>
      <c r="S46" s="1">
        <f t="shared" si="0"/>
        <v>83.82352941176471</v>
      </c>
      <c r="T46" s="1"/>
      <c r="U46" s="1"/>
    </row>
    <row r="47" spans="1:21" x14ac:dyDescent="0.25">
      <c r="A47">
        <v>2016</v>
      </c>
      <c r="B47" s="1">
        <v>158</v>
      </c>
      <c r="C47" s="1">
        <v>0</v>
      </c>
      <c r="D47" s="1">
        <v>74</v>
      </c>
      <c r="E47" s="1">
        <v>29</v>
      </c>
      <c r="F47" s="1">
        <v>118</v>
      </c>
      <c r="G47" s="1">
        <v>88</v>
      </c>
      <c r="H47" s="1">
        <v>119</v>
      </c>
      <c r="I47" s="1">
        <v>208</v>
      </c>
      <c r="J47" s="1">
        <v>67</v>
      </c>
      <c r="K47" s="1">
        <v>55</v>
      </c>
      <c r="L47" s="1">
        <v>94</v>
      </c>
      <c r="M47" s="1">
        <v>29</v>
      </c>
      <c r="N47" s="1">
        <v>357</v>
      </c>
      <c r="O47" s="1">
        <v>113</v>
      </c>
      <c r="P47" s="1">
        <v>70</v>
      </c>
      <c r="Q47" s="1">
        <v>25</v>
      </c>
      <c r="R47" s="1">
        <v>102</v>
      </c>
      <c r="S47" s="1">
        <f t="shared" si="0"/>
        <v>100.35294117647059</v>
      </c>
      <c r="T47" s="1"/>
      <c r="U47" s="1"/>
    </row>
    <row r="48" spans="1:21" x14ac:dyDescent="0.25">
      <c r="A48">
        <v>2017</v>
      </c>
      <c r="B48" s="1">
        <v>98</v>
      </c>
      <c r="C48" s="1">
        <v>84</v>
      </c>
      <c r="D48" s="1">
        <v>55</v>
      </c>
      <c r="E48" s="1">
        <v>42</v>
      </c>
      <c r="F48" s="1">
        <v>96</v>
      </c>
      <c r="G48" s="1">
        <v>102</v>
      </c>
      <c r="H48" s="1">
        <v>92</v>
      </c>
      <c r="I48" s="1">
        <v>119</v>
      </c>
      <c r="J48" s="1">
        <v>74</v>
      </c>
      <c r="K48" s="1">
        <v>67</v>
      </c>
      <c r="L48" s="1">
        <v>62</v>
      </c>
      <c r="M48" s="1">
        <v>58</v>
      </c>
      <c r="N48" s="1">
        <v>193</v>
      </c>
      <c r="O48" s="1">
        <v>148</v>
      </c>
      <c r="P48" s="1">
        <v>70</v>
      </c>
      <c r="Q48" s="1">
        <v>38</v>
      </c>
      <c r="R48" s="1">
        <v>107</v>
      </c>
      <c r="S48" s="1">
        <f t="shared" si="0"/>
        <v>88.529411764705884</v>
      </c>
      <c r="T48" s="1"/>
      <c r="U48" s="1"/>
    </row>
    <row r="49" spans="1:21" x14ac:dyDescent="0.25">
      <c r="A49">
        <v>2018</v>
      </c>
      <c r="B49" s="1">
        <v>56</v>
      </c>
      <c r="C49" s="1">
        <v>27</v>
      </c>
      <c r="D49" s="1">
        <v>44</v>
      </c>
      <c r="E49" s="1">
        <v>29</v>
      </c>
      <c r="F49" s="1">
        <v>40</v>
      </c>
      <c r="G49" s="1">
        <v>38</v>
      </c>
      <c r="H49" s="1">
        <v>64</v>
      </c>
      <c r="I49" s="1">
        <v>71</v>
      </c>
      <c r="J49" s="1">
        <v>47</v>
      </c>
      <c r="K49" s="1">
        <v>38</v>
      </c>
      <c r="L49" s="1">
        <v>34</v>
      </c>
      <c r="M49" s="1">
        <v>57</v>
      </c>
      <c r="N49" s="1">
        <v>122</v>
      </c>
      <c r="O49" s="1">
        <v>46</v>
      </c>
      <c r="P49" s="1">
        <v>36</v>
      </c>
      <c r="Q49" s="1">
        <v>27</v>
      </c>
      <c r="R49" s="1">
        <v>55</v>
      </c>
      <c r="S49" s="1">
        <f t="shared" si="0"/>
        <v>48.882352941176471</v>
      </c>
      <c r="T49" s="1"/>
      <c r="U49" s="1"/>
    </row>
    <row r="50" spans="1:21" x14ac:dyDescent="0.25">
      <c r="A50">
        <v>2019</v>
      </c>
      <c r="B50" s="1">
        <v>73</v>
      </c>
      <c r="C50" s="1">
        <v>25</v>
      </c>
      <c r="D50" s="1">
        <v>35</v>
      </c>
      <c r="E50" s="1">
        <v>30</v>
      </c>
      <c r="F50" s="1">
        <v>57</v>
      </c>
      <c r="G50" s="1">
        <v>38</v>
      </c>
      <c r="H50" s="1">
        <v>59</v>
      </c>
      <c r="I50" s="1">
        <v>165</v>
      </c>
      <c r="J50" s="1">
        <v>62</v>
      </c>
      <c r="K50" s="1">
        <v>29</v>
      </c>
      <c r="L50" s="1">
        <v>53</v>
      </c>
      <c r="M50" s="1">
        <v>66</v>
      </c>
      <c r="N50" s="1">
        <v>148</v>
      </c>
      <c r="O50" s="1">
        <v>50</v>
      </c>
      <c r="P50" s="1">
        <v>41</v>
      </c>
      <c r="Q50" s="1">
        <v>37</v>
      </c>
      <c r="R50" s="1">
        <v>48</v>
      </c>
      <c r="S50" s="1">
        <f t="shared" si="0"/>
        <v>59.764705882352942</v>
      </c>
      <c r="T50" s="1"/>
      <c r="U50" s="1"/>
    </row>
    <row r="51" spans="1:21" x14ac:dyDescent="0.25">
      <c r="A51">
        <v>2020</v>
      </c>
      <c r="B51" s="1">
        <v>93</v>
      </c>
      <c r="C51" s="1">
        <v>10</v>
      </c>
      <c r="D51" s="1">
        <v>54</v>
      </c>
      <c r="E51" s="1">
        <v>37</v>
      </c>
      <c r="F51" s="1">
        <v>63</v>
      </c>
      <c r="G51" s="1">
        <v>42</v>
      </c>
      <c r="H51" s="1">
        <v>65</v>
      </c>
      <c r="I51" s="1">
        <v>134</v>
      </c>
      <c r="J51" s="1">
        <v>83</v>
      </c>
      <c r="K51" s="1">
        <v>46</v>
      </c>
      <c r="L51" s="1">
        <v>56</v>
      </c>
      <c r="M51" s="1">
        <v>70</v>
      </c>
      <c r="N51" s="1">
        <v>221</v>
      </c>
      <c r="O51" s="1">
        <v>51</v>
      </c>
      <c r="P51" s="1">
        <v>30</v>
      </c>
      <c r="Q51" s="1">
        <v>32</v>
      </c>
      <c r="R51" s="1">
        <v>72</v>
      </c>
      <c r="S51" s="1">
        <f t="shared" si="0"/>
        <v>68.17647058823529</v>
      </c>
      <c r="T51" s="1"/>
      <c r="U51" s="1"/>
    </row>
    <row r="52" spans="1:21" x14ac:dyDescent="0.25">
      <c r="A52">
        <v>2021</v>
      </c>
      <c r="B52" s="1">
        <v>140</v>
      </c>
      <c r="C52" s="1">
        <v>14</v>
      </c>
      <c r="D52" s="1">
        <v>61</v>
      </c>
      <c r="E52" s="1">
        <v>43</v>
      </c>
      <c r="F52" s="1">
        <v>59</v>
      </c>
      <c r="G52" s="1">
        <v>77</v>
      </c>
      <c r="H52" s="1">
        <v>58</v>
      </c>
      <c r="I52" s="1">
        <v>129</v>
      </c>
      <c r="J52" s="1">
        <v>95</v>
      </c>
      <c r="K52" s="1">
        <v>65</v>
      </c>
      <c r="L52" s="1">
        <v>63</v>
      </c>
      <c r="M52" s="1">
        <v>45</v>
      </c>
      <c r="N52" s="1">
        <v>158</v>
      </c>
      <c r="O52" s="1">
        <v>90</v>
      </c>
      <c r="P52" s="1">
        <v>57</v>
      </c>
      <c r="Q52" s="1">
        <v>27</v>
      </c>
      <c r="R52" s="1">
        <v>89</v>
      </c>
      <c r="S52" s="1">
        <f t="shared" si="0"/>
        <v>74.705882352941174</v>
      </c>
      <c r="T52" s="1"/>
      <c r="U52" s="1"/>
    </row>
    <row r="53" spans="1:21" x14ac:dyDescent="0.25">
      <c r="A53">
        <v>2022</v>
      </c>
      <c r="B53" s="1">
        <v>79</v>
      </c>
      <c r="C53" s="1">
        <v>35</v>
      </c>
      <c r="D53" s="1">
        <v>129</v>
      </c>
      <c r="E53" s="1">
        <v>62</v>
      </c>
      <c r="F53" s="1">
        <v>68</v>
      </c>
      <c r="G53" s="1">
        <v>42</v>
      </c>
      <c r="H53" s="1">
        <v>78</v>
      </c>
      <c r="I53" s="1">
        <v>148</v>
      </c>
      <c r="J53" s="1">
        <v>108</v>
      </c>
      <c r="K53" s="1">
        <v>48</v>
      </c>
      <c r="L53" s="1">
        <v>49</v>
      </c>
      <c r="M53" s="1">
        <v>74</v>
      </c>
      <c r="N53" s="1">
        <v>150</v>
      </c>
      <c r="O53" s="1">
        <v>410</v>
      </c>
      <c r="P53" s="1">
        <v>84</v>
      </c>
      <c r="Q53" s="1">
        <v>41</v>
      </c>
      <c r="R53" s="1">
        <v>109</v>
      </c>
      <c r="S53" s="1">
        <f t="shared" si="0"/>
        <v>100.82352941176471</v>
      </c>
      <c r="T53" s="1"/>
      <c r="U53" s="1"/>
    </row>
    <row r="54" spans="1:21" x14ac:dyDescent="0.25">
      <c r="A54">
        <v>2023</v>
      </c>
      <c r="B54" s="1">
        <v>99</v>
      </c>
      <c r="C54" s="1">
        <v>18</v>
      </c>
      <c r="D54" s="1">
        <v>49</v>
      </c>
      <c r="E54" s="1">
        <v>36</v>
      </c>
      <c r="F54" s="1">
        <v>75</v>
      </c>
      <c r="G54" s="1">
        <v>30</v>
      </c>
      <c r="H54" s="1">
        <v>86</v>
      </c>
      <c r="I54" s="1">
        <v>195</v>
      </c>
      <c r="J54" s="1">
        <v>100</v>
      </c>
      <c r="K54" s="1">
        <v>40</v>
      </c>
      <c r="L54" s="1">
        <v>78</v>
      </c>
      <c r="M54" s="1">
        <v>46</v>
      </c>
      <c r="N54" s="1">
        <v>183</v>
      </c>
      <c r="O54" s="1">
        <v>51</v>
      </c>
      <c r="P54" s="1">
        <v>62</v>
      </c>
      <c r="Q54" s="1">
        <v>18</v>
      </c>
      <c r="R54" s="1">
        <v>71</v>
      </c>
      <c r="S54" s="1">
        <f t="shared" si="0"/>
        <v>72.764705882352942</v>
      </c>
      <c r="T54" s="1"/>
      <c r="U54" s="1"/>
    </row>
    <row r="55" spans="1:21" x14ac:dyDescent="0.25">
      <c r="A55">
        <v>2024</v>
      </c>
      <c r="B55" s="1">
        <v>75</v>
      </c>
      <c r="C55" s="1">
        <v>14</v>
      </c>
      <c r="D55" s="1">
        <v>70</v>
      </c>
      <c r="E55" s="1">
        <v>18</v>
      </c>
      <c r="F55" s="1">
        <v>47</v>
      </c>
      <c r="G55" s="1">
        <v>21</v>
      </c>
      <c r="H55" s="1">
        <v>65</v>
      </c>
      <c r="I55" s="1">
        <v>177</v>
      </c>
      <c r="J55" s="1">
        <v>66</v>
      </c>
      <c r="K55" s="1">
        <v>41</v>
      </c>
      <c r="L55" s="1">
        <v>48</v>
      </c>
      <c r="M55" s="1">
        <v>22</v>
      </c>
      <c r="N55" s="1">
        <v>166</v>
      </c>
      <c r="O55" s="1">
        <v>103</v>
      </c>
      <c r="P55" s="1">
        <v>70</v>
      </c>
      <c r="Q55" s="1">
        <v>11</v>
      </c>
      <c r="R55" s="1">
        <v>41</v>
      </c>
      <c r="S55" s="1">
        <f t="shared" si="0"/>
        <v>62.058823529411768</v>
      </c>
      <c r="T55" s="1"/>
      <c r="U55" s="1"/>
    </row>
    <row r="56" spans="1:21" x14ac:dyDescent="0.25">
      <c r="A56">
        <v>2025</v>
      </c>
      <c r="B56" s="1">
        <v>84</v>
      </c>
      <c r="C56" s="1">
        <v>40</v>
      </c>
      <c r="D56" s="1">
        <v>65</v>
      </c>
      <c r="E56" s="1">
        <v>72</v>
      </c>
      <c r="F56" s="1">
        <v>76</v>
      </c>
      <c r="G56" s="1">
        <v>81</v>
      </c>
      <c r="H56" s="1">
        <v>94</v>
      </c>
      <c r="I56" s="1">
        <v>120</v>
      </c>
      <c r="J56" s="1">
        <v>80</v>
      </c>
      <c r="K56" s="1">
        <v>62</v>
      </c>
      <c r="L56" s="1">
        <v>90</v>
      </c>
      <c r="M56" s="1">
        <v>78</v>
      </c>
      <c r="N56" s="1">
        <v>198</v>
      </c>
      <c r="O56" s="1">
        <v>87</v>
      </c>
      <c r="P56" s="1">
        <v>103</v>
      </c>
      <c r="Q56" s="1">
        <v>49</v>
      </c>
      <c r="R56" s="1">
        <v>150</v>
      </c>
      <c r="S56" s="1">
        <f t="shared" si="0"/>
        <v>89.941176470588232</v>
      </c>
      <c r="T56" s="1"/>
      <c r="U56" s="1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6"/>
  <sheetViews>
    <sheetView workbookViewId="0">
      <selection activeCell="M38" sqref="M34:M38"/>
    </sheetView>
  </sheetViews>
  <sheetFormatPr defaultRowHeight="15" x14ac:dyDescent="0.25"/>
  <sheetData>
    <row r="1" spans="1:21" ht="75" x14ac:dyDescent="0.25"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56</v>
      </c>
      <c r="Q1" t="s">
        <v>57</v>
      </c>
      <c r="R1" t="s">
        <v>58</v>
      </c>
      <c r="S1" t="s">
        <v>59</v>
      </c>
      <c r="T1" t="s">
        <v>60</v>
      </c>
      <c r="U1" s="3" t="s">
        <v>213</v>
      </c>
    </row>
    <row r="2" spans="1:21" x14ac:dyDescent="0.25">
      <c r="A2">
        <v>1971</v>
      </c>
      <c r="B2" s="2">
        <v>22</v>
      </c>
      <c r="C2" s="1">
        <v>74</v>
      </c>
      <c r="D2" s="1"/>
      <c r="E2" s="1"/>
      <c r="F2" s="1">
        <v>29</v>
      </c>
      <c r="G2" s="1">
        <v>32</v>
      </c>
      <c r="H2" s="1"/>
      <c r="I2" s="1">
        <v>132</v>
      </c>
      <c r="J2" s="1">
        <v>76</v>
      </c>
      <c r="K2" s="1">
        <v>55</v>
      </c>
      <c r="L2" s="1">
        <v>36</v>
      </c>
      <c r="M2" s="1">
        <v>28</v>
      </c>
      <c r="N2" s="1">
        <v>175</v>
      </c>
      <c r="O2" s="2">
        <v>84</v>
      </c>
      <c r="P2" s="1">
        <v>19</v>
      </c>
      <c r="Q2" s="2"/>
      <c r="R2" s="1">
        <v>29</v>
      </c>
      <c r="S2" s="2"/>
      <c r="T2" s="2"/>
      <c r="U2" s="1">
        <f>AVERAGE(B2:T2)</f>
        <v>60.846153846153847</v>
      </c>
    </row>
    <row r="3" spans="1:21" x14ac:dyDescent="0.25">
      <c r="A3">
        <v>1972</v>
      </c>
      <c r="B3" s="2">
        <v>15</v>
      </c>
      <c r="C3" s="1">
        <v>35</v>
      </c>
      <c r="D3" s="1"/>
      <c r="E3" s="1"/>
      <c r="F3" s="1">
        <v>19</v>
      </c>
      <c r="G3" s="1">
        <v>24</v>
      </c>
      <c r="H3" s="1"/>
      <c r="I3" s="1">
        <v>92</v>
      </c>
      <c r="J3" s="1">
        <v>52</v>
      </c>
      <c r="K3" s="1">
        <v>20</v>
      </c>
      <c r="L3" s="1">
        <v>26</v>
      </c>
      <c r="M3" s="1">
        <v>21</v>
      </c>
      <c r="N3" s="1">
        <v>218</v>
      </c>
      <c r="O3" s="2">
        <v>36</v>
      </c>
      <c r="P3" s="1">
        <v>44</v>
      </c>
      <c r="Q3" s="2">
        <v>38</v>
      </c>
      <c r="R3" s="1">
        <v>15</v>
      </c>
      <c r="S3" s="2"/>
      <c r="T3" s="2"/>
      <c r="U3" s="1">
        <f t="shared" ref="U3:U56" si="0">AVERAGE(B3:T3)</f>
        <v>46.785714285714285</v>
      </c>
    </row>
    <row r="4" spans="1:21" x14ac:dyDescent="0.25">
      <c r="A4">
        <v>1973</v>
      </c>
      <c r="B4" s="2">
        <v>7</v>
      </c>
      <c r="C4" s="1">
        <v>64</v>
      </c>
      <c r="D4" s="1"/>
      <c r="E4" s="1"/>
      <c r="F4" s="1">
        <v>25</v>
      </c>
      <c r="G4" s="1">
        <v>29</v>
      </c>
      <c r="H4" s="1"/>
      <c r="I4" s="1">
        <v>132</v>
      </c>
      <c r="J4" s="1">
        <v>59</v>
      </c>
      <c r="K4" s="1">
        <v>26</v>
      </c>
      <c r="L4" s="1">
        <v>14</v>
      </c>
      <c r="M4" s="1">
        <v>17</v>
      </c>
      <c r="N4" s="1">
        <v>301</v>
      </c>
      <c r="O4" s="2">
        <v>61</v>
      </c>
      <c r="P4" s="1">
        <v>30</v>
      </c>
      <c r="Q4" s="2">
        <v>73</v>
      </c>
      <c r="R4" s="1">
        <v>27</v>
      </c>
      <c r="S4" s="2"/>
      <c r="T4" s="2"/>
      <c r="U4" s="1">
        <f t="shared" si="0"/>
        <v>61.785714285714285</v>
      </c>
    </row>
    <row r="5" spans="1:21" x14ac:dyDescent="0.25">
      <c r="A5">
        <v>1974</v>
      </c>
      <c r="B5" s="2">
        <v>16</v>
      </c>
      <c r="C5" s="1">
        <v>18</v>
      </c>
      <c r="D5" s="1"/>
      <c r="E5" s="1"/>
      <c r="F5" s="1">
        <v>16</v>
      </c>
      <c r="G5" s="1">
        <v>14</v>
      </c>
      <c r="H5" s="1"/>
      <c r="I5" s="1">
        <v>81</v>
      </c>
      <c r="J5" s="1">
        <v>25</v>
      </c>
      <c r="K5" s="1">
        <v>8</v>
      </c>
      <c r="L5" s="1">
        <v>30</v>
      </c>
      <c r="M5" s="1">
        <v>22</v>
      </c>
      <c r="N5" s="1">
        <v>61</v>
      </c>
      <c r="O5" s="2">
        <v>30</v>
      </c>
      <c r="P5" s="1">
        <v>44</v>
      </c>
      <c r="Q5" s="2">
        <v>30</v>
      </c>
      <c r="R5" s="1">
        <v>20</v>
      </c>
      <c r="S5" s="2"/>
      <c r="T5" s="2"/>
      <c r="U5" s="1">
        <f t="shared" si="0"/>
        <v>29.642857142857142</v>
      </c>
    </row>
    <row r="6" spans="1:21" x14ac:dyDescent="0.25">
      <c r="A6">
        <v>1975</v>
      </c>
      <c r="B6" s="2">
        <v>4</v>
      </c>
      <c r="C6" s="1">
        <v>50</v>
      </c>
      <c r="D6" s="1"/>
      <c r="E6" s="1"/>
      <c r="F6" s="1">
        <v>13</v>
      </c>
      <c r="G6" s="1">
        <v>19</v>
      </c>
      <c r="H6" s="1"/>
      <c r="I6" s="1">
        <v>103</v>
      </c>
      <c r="J6" s="1">
        <v>48</v>
      </c>
      <c r="K6" s="1">
        <v>9</v>
      </c>
      <c r="L6" s="1">
        <v>36</v>
      </c>
      <c r="M6" s="1"/>
      <c r="N6" s="1">
        <v>214</v>
      </c>
      <c r="O6" s="2">
        <v>60</v>
      </c>
      <c r="P6" s="1">
        <v>48</v>
      </c>
      <c r="Q6" s="2">
        <v>72</v>
      </c>
      <c r="R6" s="1">
        <v>6</v>
      </c>
      <c r="S6" s="2"/>
      <c r="T6" s="2"/>
      <c r="U6" s="1">
        <f t="shared" si="0"/>
        <v>52.46153846153846</v>
      </c>
    </row>
    <row r="7" spans="1:21" x14ac:dyDescent="0.25">
      <c r="A7">
        <v>1976</v>
      </c>
      <c r="B7" s="2">
        <v>18</v>
      </c>
      <c r="C7" s="1">
        <v>29</v>
      </c>
      <c r="D7" s="1"/>
      <c r="E7" s="1"/>
      <c r="F7" s="1">
        <v>23</v>
      </c>
      <c r="G7" s="1">
        <v>13</v>
      </c>
      <c r="H7" s="1"/>
      <c r="I7" s="1">
        <v>78</v>
      </c>
      <c r="J7" s="1">
        <v>34</v>
      </c>
      <c r="K7" s="1">
        <v>12</v>
      </c>
      <c r="L7" s="1"/>
      <c r="M7" s="1">
        <v>30</v>
      </c>
      <c r="N7" s="1">
        <v>208</v>
      </c>
      <c r="O7" s="2">
        <v>41</v>
      </c>
      <c r="P7" s="1">
        <v>23</v>
      </c>
      <c r="Q7" s="2">
        <v>52</v>
      </c>
      <c r="R7" s="1">
        <v>12</v>
      </c>
      <c r="S7" s="2"/>
      <c r="T7" s="2"/>
      <c r="U7" s="1">
        <f t="shared" si="0"/>
        <v>44.07692307692308</v>
      </c>
    </row>
    <row r="8" spans="1:21" x14ac:dyDescent="0.25">
      <c r="A8">
        <v>1977</v>
      </c>
      <c r="B8" s="2">
        <v>26</v>
      </c>
      <c r="C8" s="1">
        <v>74</v>
      </c>
      <c r="D8" s="1"/>
      <c r="E8" s="1"/>
      <c r="F8" s="1">
        <v>27</v>
      </c>
      <c r="G8" s="1">
        <v>25</v>
      </c>
      <c r="H8" s="1"/>
      <c r="I8" s="1">
        <v>143</v>
      </c>
      <c r="J8" s="1">
        <v>98</v>
      </c>
      <c r="K8" s="1">
        <v>46</v>
      </c>
      <c r="L8" s="1">
        <v>28</v>
      </c>
      <c r="M8" s="1">
        <v>35</v>
      </c>
      <c r="N8" s="1">
        <v>208</v>
      </c>
      <c r="O8" s="2">
        <v>55</v>
      </c>
      <c r="P8" s="1">
        <v>76</v>
      </c>
      <c r="Q8" s="2">
        <v>64</v>
      </c>
      <c r="R8" s="1">
        <v>72</v>
      </c>
      <c r="S8" s="2"/>
      <c r="T8" s="2"/>
      <c r="U8" s="1">
        <f t="shared" si="0"/>
        <v>69.785714285714292</v>
      </c>
    </row>
    <row r="9" spans="1:21" x14ac:dyDescent="0.25">
      <c r="A9">
        <v>1978</v>
      </c>
      <c r="B9" s="1">
        <v>15.6</v>
      </c>
      <c r="C9" s="1">
        <v>46.2</v>
      </c>
      <c r="D9" s="1"/>
      <c r="E9" s="1"/>
      <c r="F9" s="1">
        <v>27.3</v>
      </c>
      <c r="G9" s="1">
        <v>28.74</v>
      </c>
      <c r="H9" s="1"/>
      <c r="I9" s="1"/>
      <c r="J9" s="1">
        <v>64</v>
      </c>
      <c r="K9" s="1">
        <v>11.4</v>
      </c>
      <c r="L9" s="1">
        <v>1</v>
      </c>
      <c r="M9" s="1">
        <v>28</v>
      </c>
      <c r="N9" s="1">
        <v>168</v>
      </c>
      <c r="O9" s="1">
        <v>30.6</v>
      </c>
      <c r="P9" s="1">
        <v>49.4</v>
      </c>
      <c r="Q9" s="1">
        <v>76.8</v>
      </c>
      <c r="R9" s="1">
        <v>26.4</v>
      </c>
      <c r="S9" s="2"/>
      <c r="T9" s="1"/>
      <c r="U9" s="1">
        <f t="shared" si="0"/>
        <v>44.110769230769229</v>
      </c>
    </row>
    <row r="10" spans="1:21" x14ac:dyDescent="0.25">
      <c r="A10">
        <v>1979</v>
      </c>
      <c r="B10" s="1">
        <v>13.2</v>
      </c>
      <c r="C10" s="1">
        <v>22.1</v>
      </c>
      <c r="D10" s="1"/>
      <c r="E10" s="1"/>
      <c r="F10" s="1">
        <v>16.8</v>
      </c>
      <c r="G10" s="1">
        <v>14.4</v>
      </c>
      <c r="H10" s="1"/>
      <c r="I10" s="1">
        <v>69.3</v>
      </c>
      <c r="J10" s="1">
        <v>75</v>
      </c>
      <c r="K10" s="1">
        <v>14</v>
      </c>
      <c r="L10" s="1">
        <v>29</v>
      </c>
      <c r="M10" s="1">
        <v>54</v>
      </c>
      <c r="N10" s="1">
        <v>319.2</v>
      </c>
      <c r="O10" s="1">
        <v>43.7</v>
      </c>
      <c r="P10" s="1">
        <v>29.4</v>
      </c>
      <c r="Q10" s="1">
        <v>30.8</v>
      </c>
      <c r="R10" s="1">
        <v>14</v>
      </c>
      <c r="S10" s="2"/>
      <c r="T10" s="1"/>
      <c r="U10" s="1">
        <f t="shared" si="0"/>
        <v>53.207142857142856</v>
      </c>
    </row>
    <row r="11" spans="1:21" x14ac:dyDescent="0.25">
      <c r="A11">
        <v>1980</v>
      </c>
      <c r="B11" s="1"/>
      <c r="C11" s="1">
        <v>25.5</v>
      </c>
      <c r="D11" s="1"/>
      <c r="E11" s="1"/>
      <c r="F11" s="1">
        <v>10.5</v>
      </c>
      <c r="G11" s="1">
        <v>12.6</v>
      </c>
      <c r="H11" s="1"/>
      <c r="I11" s="1"/>
      <c r="J11" s="1">
        <v>43.7</v>
      </c>
      <c r="K11" s="1">
        <v>13.2</v>
      </c>
      <c r="L11" s="1">
        <v>0.6</v>
      </c>
      <c r="M11" s="1">
        <v>25.3</v>
      </c>
      <c r="N11" s="1">
        <v>232.4</v>
      </c>
      <c r="O11" s="1">
        <v>50.6</v>
      </c>
      <c r="P11" s="1">
        <v>14.4</v>
      </c>
      <c r="Q11" s="1">
        <v>28.9</v>
      </c>
      <c r="R11" s="1">
        <v>8.4</v>
      </c>
      <c r="S11" s="2"/>
      <c r="T11" s="1"/>
      <c r="U11" s="1">
        <f t="shared" si="0"/>
        <v>38.841666666666661</v>
      </c>
    </row>
    <row r="12" spans="1:21" x14ac:dyDescent="0.25">
      <c r="A12">
        <v>1981</v>
      </c>
      <c r="B12" s="1">
        <v>13.3</v>
      </c>
      <c r="C12" s="1">
        <v>10.5</v>
      </c>
      <c r="D12" s="1"/>
      <c r="E12" s="1"/>
      <c r="F12" s="1"/>
      <c r="G12" s="1">
        <v>15.4</v>
      </c>
      <c r="H12" s="1"/>
      <c r="I12" s="1"/>
      <c r="J12" s="1">
        <v>22</v>
      </c>
      <c r="K12" s="1">
        <v>8</v>
      </c>
      <c r="L12" s="1">
        <v>13.2</v>
      </c>
      <c r="M12" s="1">
        <v>16</v>
      </c>
      <c r="N12" s="1">
        <v>252.8</v>
      </c>
      <c r="O12" s="1">
        <v>48</v>
      </c>
      <c r="P12" s="1">
        <v>15.3</v>
      </c>
      <c r="Q12" s="1">
        <v>15.3</v>
      </c>
      <c r="R12" s="1">
        <v>40</v>
      </c>
      <c r="S12" s="2"/>
      <c r="T12" s="1"/>
      <c r="U12" s="1">
        <f t="shared" si="0"/>
        <v>39.150000000000006</v>
      </c>
    </row>
    <row r="13" spans="1:21" x14ac:dyDescent="0.25">
      <c r="A13">
        <v>1982</v>
      </c>
      <c r="B13" s="1"/>
      <c r="C13" s="1">
        <v>16</v>
      </c>
      <c r="D13" s="1"/>
      <c r="E13" s="1"/>
      <c r="F13" s="1">
        <v>35.200000000000003</v>
      </c>
      <c r="G13" s="1">
        <v>14.4</v>
      </c>
      <c r="H13" s="1"/>
      <c r="I13" s="1"/>
      <c r="J13" s="1">
        <v>46</v>
      </c>
      <c r="K13" s="1">
        <v>13.5</v>
      </c>
      <c r="L13" s="1">
        <v>24.2</v>
      </c>
      <c r="M13" s="1">
        <v>32.200000000000003</v>
      </c>
      <c r="N13" s="1">
        <v>135</v>
      </c>
      <c r="O13" s="1">
        <v>52.2</v>
      </c>
      <c r="P13" s="1">
        <v>44.2</v>
      </c>
      <c r="Q13" s="1">
        <v>23.4</v>
      </c>
      <c r="R13" s="1">
        <v>18</v>
      </c>
      <c r="S13" s="2"/>
      <c r="T13" s="1"/>
      <c r="U13" s="1">
        <f t="shared" si="0"/>
        <v>37.858333333333327</v>
      </c>
    </row>
    <row r="14" spans="1:21" x14ac:dyDescent="0.25">
      <c r="A14">
        <v>1983</v>
      </c>
      <c r="B14" s="1"/>
      <c r="C14" s="1">
        <v>19</v>
      </c>
      <c r="D14" s="1"/>
      <c r="E14" s="1"/>
      <c r="F14" s="1">
        <v>32</v>
      </c>
      <c r="G14" s="1">
        <v>28</v>
      </c>
      <c r="H14" s="1"/>
      <c r="I14" s="1"/>
      <c r="J14" s="1">
        <v>52.5</v>
      </c>
      <c r="K14" s="1">
        <v>9</v>
      </c>
      <c r="L14" s="1"/>
      <c r="M14" s="1">
        <v>43.7</v>
      </c>
      <c r="N14" s="1">
        <v>117</v>
      </c>
      <c r="O14" s="1">
        <v>32.299999999999997</v>
      </c>
      <c r="P14" s="1">
        <v>20</v>
      </c>
      <c r="Q14" s="1">
        <v>17</v>
      </c>
      <c r="R14" s="1"/>
      <c r="S14" s="2"/>
      <c r="T14" s="1"/>
      <c r="U14" s="1">
        <f t="shared" si="0"/>
        <v>37.049999999999997</v>
      </c>
    </row>
    <row r="15" spans="1:21" x14ac:dyDescent="0.25">
      <c r="A15">
        <v>1984</v>
      </c>
      <c r="B15" s="1">
        <v>19.2</v>
      </c>
      <c r="C15" s="1">
        <v>22.4</v>
      </c>
      <c r="D15" s="1"/>
      <c r="E15" s="1"/>
      <c r="F15" s="1">
        <v>18.7</v>
      </c>
      <c r="G15" s="1">
        <v>22.1</v>
      </c>
      <c r="H15" s="1"/>
      <c r="I15" s="1"/>
      <c r="J15" s="1">
        <v>32</v>
      </c>
      <c r="K15" s="1">
        <v>7.5</v>
      </c>
      <c r="L15" s="1"/>
      <c r="M15" s="1">
        <v>16</v>
      </c>
      <c r="N15" s="1">
        <v>208.8</v>
      </c>
      <c r="O15" s="1">
        <v>28.8</v>
      </c>
      <c r="P15" s="1">
        <v>11.7</v>
      </c>
      <c r="Q15" s="1">
        <v>30.4</v>
      </c>
      <c r="R15" s="1"/>
      <c r="S15" s="2"/>
      <c r="T15" s="1"/>
      <c r="U15" s="1">
        <f t="shared" si="0"/>
        <v>37.963636363636368</v>
      </c>
    </row>
    <row r="16" spans="1:21" x14ac:dyDescent="0.25">
      <c r="A16">
        <v>1985</v>
      </c>
      <c r="B16" s="1">
        <v>42.9</v>
      </c>
      <c r="C16" s="1">
        <v>62.1</v>
      </c>
      <c r="D16" s="1"/>
      <c r="E16" s="1"/>
      <c r="F16" s="1">
        <v>19.2</v>
      </c>
      <c r="G16" s="1">
        <v>21.6</v>
      </c>
      <c r="H16" s="1"/>
      <c r="I16" s="1"/>
      <c r="J16" s="1">
        <v>113.4</v>
      </c>
      <c r="K16" s="1">
        <v>48.3</v>
      </c>
      <c r="L16" s="1">
        <v>40.799999999999997</v>
      </c>
      <c r="M16" s="1">
        <v>24.2</v>
      </c>
      <c r="N16" s="1">
        <v>259.2</v>
      </c>
      <c r="O16" s="1">
        <v>47.6</v>
      </c>
      <c r="P16" s="1">
        <v>39.6</v>
      </c>
      <c r="Q16" s="1">
        <v>39.04</v>
      </c>
      <c r="R16" s="1">
        <v>35.700000000000003</v>
      </c>
      <c r="S16" s="2"/>
      <c r="T16" s="1"/>
      <c r="U16" s="1">
        <f t="shared" si="0"/>
        <v>61.049230769230775</v>
      </c>
    </row>
    <row r="17" spans="1:21" x14ac:dyDescent="0.25">
      <c r="A17">
        <v>1986</v>
      </c>
      <c r="B17" s="1">
        <v>14</v>
      </c>
      <c r="C17" s="1">
        <v>36.299999999999997</v>
      </c>
      <c r="D17" s="1"/>
      <c r="E17" s="1"/>
      <c r="F17" s="1">
        <v>18</v>
      </c>
      <c r="G17" s="1">
        <v>17</v>
      </c>
      <c r="H17" s="1"/>
      <c r="I17" s="1"/>
      <c r="J17" s="1">
        <v>59</v>
      </c>
      <c r="K17" s="1">
        <v>7.6</v>
      </c>
      <c r="L17" s="1">
        <v>20.8</v>
      </c>
      <c r="M17" s="1">
        <v>17</v>
      </c>
      <c r="N17" s="1">
        <v>210</v>
      </c>
      <c r="O17" s="1">
        <v>34</v>
      </c>
      <c r="P17" s="1">
        <v>27</v>
      </c>
      <c r="Q17" s="1">
        <v>26.1</v>
      </c>
      <c r="R17" s="1">
        <v>11.2</v>
      </c>
      <c r="S17" s="2"/>
      <c r="T17" s="1"/>
      <c r="U17" s="1">
        <f t="shared" si="0"/>
        <v>38.307692307692314</v>
      </c>
    </row>
    <row r="18" spans="1:21" x14ac:dyDescent="0.25">
      <c r="A18">
        <v>1987</v>
      </c>
      <c r="B18" s="1">
        <v>12</v>
      </c>
      <c r="C18" s="1">
        <v>14</v>
      </c>
      <c r="D18" s="1"/>
      <c r="E18" s="1"/>
      <c r="F18" s="1">
        <v>10</v>
      </c>
      <c r="G18" s="1">
        <v>11</v>
      </c>
      <c r="H18" s="1"/>
      <c r="I18" s="1"/>
      <c r="J18" s="1">
        <v>227</v>
      </c>
      <c r="K18" s="1">
        <v>11</v>
      </c>
      <c r="L18" s="1">
        <v>35</v>
      </c>
      <c r="M18" s="1"/>
      <c r="N18" s="1">
        <v>285</v>
      </c>
      <c r="O18" s="1">
        <v>42</v>
      </c>
      <c r="P18" s="1">
        <v>62</v>
      </c>
      <c r="Q18" s="1">
        <v>23</v>
      </c>
      <c r="R18" s="1">
        <v>15</v>
      </c>
      <c r="S18" s="2"/>
      <c r="T18" s="1"/>
      <c r="U18" s="1">
        <f t="shared" si="0"/>
        <v>62.25</v>
      </c>
    </row>
    <row r="19" spans="1:21" x14ac:dyDescent="0.25">
      <c r="A19">
        <v>1988</v>
      </c>
      <c r="B19" s="1">
        <v>67</v>
      </c>
      <c r="C19" s="1">
        <v>67</v>
      </c>
      <c r="D19" s="1"/>
      <c r="E19" s="1"/>
      <c r="F19" s="1">
        <v>46</v>
      </c>
      <c r="G19" s="1">
        <v>73</v>
      </c>
      <c r="H19" s="1"/>
      <c r="I19" s="1">
        <v>84</v>
      </c>
      <c r="J19" s="1">
        <v>120</v>
      </c>
      <c r="K19" s="1">
        <v>49</v>
      </c>
      <c r="L19" s="1">
        <v>31</v>
      </c>
      <c r="M19" s="1">
        <v>31</v>
      </c>
      <c r="N19" s="1">
        <v>345</v>
      </c>
      <c r="O19" s="1">
        <v>65</v>
      </c>
      <c r="P19" s="1">
        <v>40</v>
      </c>
      <c r="Q19" s="1">
        <v>67</v>
      </c>
      <c r="R19" s="1">
        <v>32</v>
      </c>
      <c r="S19" s="2"/>
      <c r="T19" s="1"/>
      <c r="U19" s="1">
        <f t="shared" si="0"/>
        <v>79.785714285714292</v>
      </c>
    </row>
    <row r="20" spans="1:21" x14ac:dyDescent="0.25">
      <c r="A20">
        <v>1989</v>
      </c>
      <c r="B20" s="1">
        <v>13</v>
      </c>
      <c r="C20" s="1">
        <v>44</v>
      </c>
      <c r="D20" s="1"/>
      <c r="E20" s="1"/>
      <c r="F20" s="1">
        <v>29</v>
      </c>
      <c r="G20" s="1">
        <v>17</v>
      </c>
      <c r="H20" s="1"/>
      <c r="I20" s="1">
        <v>88</v>
      </c>
      <c r="J20" s="1">
        <v>53</v>
      </c>
      <c r="K20" s="1">
        <v>6</v>
      </c>
      <c r="L20" s="1">
        <v>11</v>
      </c>
      <c r="M20" s="1">
        <v>26</v>
      </c>
      <c r="N20" s="1">
        <v>243</v>
      </c>
      <c r="O20" s="1">
        <v>37</v>
      </c>
      <c r="P20" s="1">
        <v>53</v>
      </c>
      <c r="Q20" s="1">
        <v>59</v>
      </c>
      <c r="R20" s="1">
        <v>9</v>
      </c>
      <c r="S20" s="2"/>
      <c r="T20" s="1"/>
      <c r="U20" s="1">
        <f t="shared" si="0"/>
        <v>49.142857142857146</v>
      </c>
    </row>
    <row r="21" spans="1:21" x14ac:dyDescent="0.25">
      <c r="A21">
        <v>1990</v>
      </c>
      <c r="B21" s="1">
        <v>19</v>
      </c>
      <c r="C21" s="1">
        <v>31</v>
      </c>
      <c r="D21" s="1"/>
      <c r="E21" s="1"/>
      <c r="F21" s="1">
        <v>21</v>
      </c>
      <c r="G21" s="1">
        <v>21</v>
      </c>
      <c r="H21" s="1"/>
      <c r="I21" s="1">
        <v>90</v>
      </c>
      <c r="J21" s="1">
        <v>67</v>
      </c>
      <c r="K21" s="1">
        <v>31</v>
      </c>
      <c r="L21" s="1">
        <v>18</v>
      </c>
      <c r="M21" s="1">
        <v>22</v>
      </c>
      <c r="N21" s="1">
        <v>238</v>
      </c>
      <c r="O21" s="1">
        <v>32</v>
      </c>
      <c r="P21" s="1">
        <v>29</v>
      </c>
      <c r="Q21" s="1">
        <v>50</v>
      </c>
      <c r="R21" s="1">
        <v>32</v>
      </c>
      <c r="S21" s="2"/>
      <c r="T21" s="1"/>
      <c r="U21" s="1">
        <f t="shared" si="0"/>
        <v>50.071428571428569</v>
      </c>
    </row>
    <row r="22" spans="1:21" x14ac:dyDescent="0.25">
      <c r="A22">
        <v>1991</v>
      </c>
      <c r="B22" s="1">
        <v>17</v>
      </c>
      <c r="C22" s="1">
        <v>59</v>
      </c>
      <c r="D22" s="1"/>
      <c r="E22" s="1"/>
      <c r="F22" s="1">
        <v>44</v>
      </c>
      <c r="G22" s="1">
        <v>22</v>
      </c>
      <c r="H22" s="1"/>
      <c r="I22" s="1">
        <v>85</v>
      </c>
      <c r="J22" s="1">
        <v>77</v>
      </c>
      <c r="K22" s="1">
        <v>28</v>
      </c>
      <c r="L22" s="1">
        <v>21</v>
      </c>
      <c r="M22" s="1">
        <v>25</v>
      </c>
      <c r="N22" s="1">
        <v>218</v>
      </c>
      <c r="O22" s="1">
        <v>61</v>
      </c>
      <c r="P22" s="1">
        <v>42</v>
      </c>
      <c r="Q22" s="1">
        <v>65</v>
      </c>
      <c r="R22" s="1">
        <v>9</v>
      </c>
      <c r="S22" s="2"/>
      <c r="T22" s="1"/>
      <c r="U22" s="1">
        <f t="shared" si="0"/>
        <v>55.214285714285715</v>
      </c>
    </row>
    <row r="23" spans="1:21" x14ac:dyDescent="0.25">
      <c r="A23">
        <v>1992</v>
      </c>
      <c r="B23" s="1">
        <v>6</v>
      </c>
      <c r="C23" s="1">
        <v>11</v>
      </c>
      <c r="D23" s="1"/>
      <c r="E23" s="1"/>
      <c r="F23" s="1">
        <v>10</v>
      </c>
      <c r="G23" s="1">
        <v>9</v>
      </c>
      <c r="H23" s="1"/>
      <c r="I23" s="1">
        <v>43</v>
      </c>
      <c r="J23" s="1">
        <v>50</v>
      </c>
      <c r="K23" s="1"/>
      <c r="L23" s="1"/>
      <c r="M23" s="1">
        <v>13</v>
      </c>
      <c r="N23" s="1">
        <v>142</v>
      </c>
      <c r="O23" s="1">
        <v>19</v>
      </c>
      <c r="P23" s="1">
        <v>43</v>
      </c>
      <c r="Q23" s="1">
        <v>20</v>
      </c>
      <c r="R23" s="1">
        <v>0</v>
      </c>
      <c r="S23" s="2"/>
      <c r="T23" s="1"/>
      <c r="U23" s="1">
        <f t="shared" si="0"/>
        <v>30.5</v>
      </c>
    </row>
    <row r="24" spans="1:21" x14ac:dyDescent="0.25">
      <c r="A24">
        <v>1993</v>
      </c>
      <c r="B24" s="1">
        <v>13</v>
      </c>
      <c r="C24" s="1">
        <v>40</v>
      </c>
      <c r="D24" s="1"/>
      <c r="E24" s="1"/>
      <c r="F24" s="1">
        <v>0</v>
      </c>
      <c r="G24" s="1">
        <v>17</v>
      </c>
      <c r="H24" s="1"/>
      <c r="I24" s="1">
        <v>46</v>
      </c>
      <c r="J24" s="1">
        <v>64</v>
      </c>
      <c r="K24" s="1">
        <v>16</v>
      </c>
      <c r="L24" s="1"/>
      <c r="M24" s="1"/>
      <c r="N24" s="1">
        <v>278</v>
      </c>
      <c r="O24" s="1">
        <v>34</v>
      </c>
      <c r="P24" s="1">
        <v>72</v>
      </c>
      <c r="Q24" s="1">
        <v>36</v>
      </c>
      <c r="R24" s="1">
        <v>0</v>
      </c>
      <c r="S24" s="2"/>
      <c r="T24" s="1"/>
      <c r="U24" s="1">
        <f t="shared" si="0"/>
        <v>51.333333333333336</v>
      </c>
    </row>
    <row r="25" spans="1:21" x14ac:dyDescent="0.25">
      <c r="A25">
        <v>1994</v>
      </c>
      <c r="B25" s="1">
        <v>49</v>
      </c>
      <c r="C25" s="1">
        <v>104</v>
      </c>
      <c r="D25" s="1"/>
      <c r="E25" s="1"/>
      <c r="F25" s="1">
        <v>78</v>
      </c>
      <c r="G25" s="1">
        <v>0</v>
      </c>
      <c r="H25" s="1"/>
      <c r="I25" s="1">
        <v>140</v>
      </c>
      <c r="J25" s="1">
        <v>87</v>
      </c>
      <c r="K25" s="1">
        <v>42</v>
      </c>
      <c r="L25" s="1">
        <v>16</v>
      </c>
      <c r="M25" s="1">
        <v>58</v>
      </c>
      <c r="N25" s="1">
        <v>199</v>
      </c>
      <c r="O25" s="1">
        <v>65</v>
      </c>
      <c r="P25" s="1">
        <v>56</v>
      </c>
      <c r="Q25" s="1">
        <v>109</v>
      </c>
      <c r="R25" s="1">
        <v>11</v>
      </c>
      <c r="S25" s="2"/>
      <c r="T25" s="1"/>
      <c r="U25" s="1">
        <f t="shared" si="0"/>
        <v>72.428571428571431</v>
      </c>
    </row>
    <row r="26" spans="1:21" x14ac:dyDescent="0.25">
      <c r="A26">
        <v>1995</v>
      </c>
      <c r="B26" s="1">
        <v>19</v>
      </c>
      <c r="C26" s="1">
        <v>40</v>
      </c>
      <c r="D26" s="1"/>
      <c r="E26" s="1"/>
      <c r="F26" s="1">
        <v>19</v>
      </c>
      <c r="G26" s="1">
        <v>12</v>
      </c>
      <c r="H26" s="1"/>
      <c r="I26" s="1">
        <v>50</v>
      </c>
      <c r="J26" s="1">
        <v>90</v>
      </c>
      <c r="K26" s="1">
        <v>21</v>
      </c>
      <c r="L26" s="1">
        <v>17</v>
      </c>
      <c r="M26" s="1">
        <v>32</v>
      </c>
      <c r="N26" s="1">
        <v>131</v>
      </c>
      <c r="O26" s="1">
        <v>50</v>
      </c>
      <c r="P26" s="1">
        <v>78</v>
      </c>
      <c r="Q26" s="1">
        <v>46</v>
      </c>
      <c r="R26" s="1">
        <v>13</v>
      </c>
      <c r="S26" s="2"/>
      <c r="T26" s="1"/>
      <c r="U26" s="1">
        <f t="shared" si="0"/>
        <v>44.142857142857146</v>
      </c>
    </row>
    <row r="27" spans="1:21" x14ac:dyDescent="0.25">
      <c r="A27">
        <v>1996</v>
      </c>
      <c r="B27" s="1">
        <v>25</v>
      </c>
      <c r="C27" s="1">
        <v>53</v>
      </c>
      <c r="D27" s="1"/>
      <c r="E27" s="1"/>
      <c r="F27" s="1">
        <v>18</v>
      </c>
      <c r="G27" s="1">
        <v>5</v>
      </c>
      <c r="H27" s="1"/>
      <c r="I27" s="1">
        <v>78</v>
      </c>
      <c r="J27" s="1">
        <v>76</v>
      </c>
      <c r="K27" s="1">
        <v>20</v>
      </c>
      <c r="L27" s="1">
        <v>38</v>
      </c>
      <c r="M27" s="1">
        <v>17</v>
      </c>
      <c r="N27" s="1">
        <v>202</v>
      </c>
      <c r="O27" s="1">
        <v>38</v>
      </c>
      <c r="P27" s="1">
        <v>58</v>
      </c>
      <c r="Q27" s="1">
        <v>25</v>
      </c>
      <c r="R27" s="1">
        <v>8</v>
      </c>
      <c r="S27" s="2"/>
      <c r="T27" s="1"/>
      <c r="U27" s="1">
        <f t="shared" si="0"/>
        <v>47.214285714285715</v>
      </c>
    </row>
    <row r="28" spans="1:21" x14ac:dyDescent="0.25">
      <c r="A28">
        <v>1997</v>
      </c>
      <c r="B28" s="1">
        <v>11</v>
      </c>
      <c r="C28" s="1">
        <v>47</v>
      </c>
      <c r="D28" s="1"/>
      <c r="E28" s="1"/>
      <c r="F28" s="1">
        <v>18</v>
      </c>
      <c r="G28" s="1">
        <v>21</v>
      </c>
      <c r="H28" s="1"/>
      <c r="I28" s="1">
        <v>80</v>
      </c>
      <c r="J28" s="1">
        <v>26</v>
      </c>
      <c r="K28" s="1">
        <v>35</v>
      </c>
      <c r="L28" s="1">
        <v>0</v>
      </c>
      <c r="M28" s="1">
        <v>38</v>
      </c>
      <c r="N28" s="1">
        <v>221</v>
      </c>
      <c r="O28" s="1">
        <v>45</v>
      </c>
      <c r="P28" s="1">
        <v>43</v>
      </c>
      <c r="Q28" s="1"/>
      <c r="R28" s="1">
        <v>22</v>
      </c>
      <c r="S28" s="2"/>
      <c r="T28" s="1"/>
      <c r="U28" s="1">
        <f t="shared" si="0"/>
        <v>46.692307692307693</v>
      </c>
    </row>
    <row r="29" spans="1:21" x14ac:dyDescent="0.25">
      <c r="A29">
        <v>1998</v>
      </c>
      <c r="B29" s="1">
        <v>29</v>
      </c>
      <c r="C29" s="1">
        <v>90</v>
      </c>
      <c r="D29" s="1"/>
      <c r="E29" s="1"/>
      <c r="F29" s="1">
        <v>24</v>
      </c>
      <c r="G29" s="1">
        <v>34</v>
      </c>
      <c r="H29" s="1"/>
      <c r="I29" s="1">
        <v>67</v>
      </c>
      <c r="J29" s="1">
        <v>64</v>
      </c>
      <c r="K29" s="1">
        <v>62</v>
      </c>
      <c r="L29" s="1">
        <v>10</v>
      </c>
      <c r="M29" s="1">
        <v>44</v>
      </c>
      <c r="N29" s="1">
        <v>234</v>
      </c>
      <c r="O29" s="1">
        <v>66</v>
      </c>
      <c r="P29" s="1">
        <v>63</v>
      </c>
      <c r="Q29" s="1">
        <v>68</v>
      </c>
      <c r="R29" s="1">
        <v>24</v>
      </c>
      <c r="S29" s="2"/>
      <c r="T29" s="1"/>
      <c r="U29" s="1">
        <f t="shared" si="0"/>
        <v>62.785714285714285</v>
      </c>
    </row>
    <row r="30" spans="1:21" x14ac:dyDescent="0.25">
      <c r="A30">
        <v>1999</v>
      </c>
      <c r="B30" s="1">
        <v>10</v>
      </c>
      <c r="C30" s="1">
        <v>29</v>
      </c>
      <c r="D30" s="1"/>
      <c r="E30" s="1"/>
      <c r="F30" s="1">
        <v>39</v>
      </c>
      <c r="G30" s="1">
        <v>78</v>
      </c>
      <c r="H30" s="1"/>
      <c r="I30" s="1">
        <v>73</v>
      </c>
      <c r="J30" s="1">
        <v>150</v>
      </c>
      <c r="K30" s="1">
        <v>20</v>
      </c>
      <c r="L30" s="1">
        <v>40</v>
      </c>
      <c r="M30" s="1">
        <v>31</v>
      </c>
      <c r="N30" s="1">
        <v>278</v>
      </c>
      <c r="O30" s="1">
        <v>82</v>
      </c>
      <c r="P30" s="1">
        <v>74</v>
      </c>
      <c r="Q30" s="1">
        <v>35</v>
      </c>
      <c r="R30" s="1">
        <v>43</v>
      </c>
      <c r="S30" s="2"/>
      <c r="T30" s="1"/>
      <c r="U30" s="1">
        <f t="shared" si="0"/>
        <v>70.142857142857139</v>
      </c>
    </row>
    <row r="31" spans="1:21" x14ac:dyDescent="0.25">
      <c r="A31">
        <v>2000</v>
      </c>
      <c r="B31" s="1"/>
      <c r="C31" s="1">
        <v>29</v>
      </c>
      <c r="D31" s="1"/>
      <c r="E31" s="1"/>
      <c r="F31" s="1">
        <v>14</v>
      </c>
      <c r="G31" s="1">
        <v>9</v>
      </c>
      <c r="H31" s="1"/>
      <c r="I31" s="1">
        <v>82</v>
      </c>
      <c r="J31" s="1">
        <v>74</v>
      </c>
      <c r="K31" s="1">
        <v>13</v>
      </c>
      <c r="L31" s="1">
        <v>0</v>
      </c>
      <c r="M31" s="1">
        <v>4</v>
      </c>
      <c r="N31" s="1">
        <v>192</v>
      </c>
      <c r="O31" s="1">
        <v>64</v>
      </c>
      <c r="P31" s="1">
        <v>47</v>
      </c>
      <c r="Q31" s="1">
        <v>29</v>
      </c>
      <c r="R31" s="1">
        <v>14</v>
      </c>
      <c r="S31" s="2"/>
      <c r="T31" s="1"/>
      <c r="U31" s="1">
        <f t="shared" si="0"/>
        <v>43.92307692307692</v>
      </c>
    </row>
    <row r="32" spans="1:21" x14ac:dyDescent="0.25">
      <c r="A32">
        <v>2001</v>
      </c>
      <c r="B32" s="1">
        <v>8</v>
      </c>
      <c r="C32" s="1">
        <v>0</v>
      </c>
      <c r="D32" s="1"/>
      <c r="E32" s="1"/>
      <c r="F32" s="1">
        <v>17</v>
      </c>
      <c r="G32" s="1">
        <v>21</v>
      </c>
      <c r="H32" s="1"/>
      <c r="I32" s="1">
        <v>48</v>
      </c>
      <c r="J32" s="1">
        <v>48</v>
      </c>
      <c r="K32" s="1">
        <v>10</v>
      </c>
      <c r="L32" s="1">
        <v>18</v>
      </c>
      <c r="M32" s="1">
        <v>20</v>
      </c>
      <c r="N32" s="1">
        <v>170</v>
      </c>
      <c r="O32" s="1">
        <v>43</v>
      </c>
      <c r="P32" s="1">
        <v>51</v>
      </c>
      <c r="Q32" s="1">
        <v>45</v>
      </c>
      <c r="R32" s="1">
        <v>15</v>
      </c>
      <c r="S32" s="2"/>
      <c r="T32" s="1"/>
      <c r="U32" s="1">
        <f t="shared" si="0"/>
        <v>36.714285714285715</v>
      </c>
    </row>
    <row r="33" spans="1:21" x14ac:dyDescent="0.25">
      <c r="A33">
        <v>2002</v>
      </c>
      <c r="B33" s="1">
        <v>7</v>
      </c>
      <c r="C33" s="1">
        <v>35</v>
      </c>
      <c r="D33" s="1"/>
      <c r="E33" s="1"/>
      <c r="F33" s="1"/>
      <c r="G33" s="1">
        <v>8</v>
      </c>
      <c r="H33" s="1"/>
      <c r="I33" s="1">
        <v>56</v>
      </c>
      <c r="J33" s="1">
        <v>64</v>
      </c>
      <c r="K33" s="1">
        <v>18</v>
      </c>
      <c r="L33" s="1">
        <v>36</v>
      </c>
      <c r="M33" s="1">
        <v>6</v>
      </c>
      <c r="N33" s="1">
        <v>375</v>
      </c>
      <c r="O33" s="1">
        <v>64</v>
      </c>
      <c r="P33" s="1">
        <v>47</v>
      </c>
      <c r="Q33" s="1">
        <v>98</v>
      </c>
      <c r="R33" s="1">
        <v>44</v>
      </c>
      <c r="S33" s="2"/>
      <c r="T33" s="1"/>
      <c r="U33" s="1">
        <f t="shared" si="0"/>
        <v>66</v>
      </c>
    </row>
    <row r="34" spans="1:21" x14ac:dyDescent="0.25">
      <c r="A34">
        <v>2003</v>
      </c>
      <c r="B34" s="1">
        <v>13</v>
      </c>
      <c r="C34" s="1">
        <v>26</v>
      </c>
      <c r="D34" s="1"/>
      <c r="E34" s="1"/>
      <c r="F34" s="1">
        <v>50</v>
      </c>
      <c r="G34" s="1">
        <v>18</v>
      </c>
      <c r="H34" s="1"/>
      <c r="I34" s="1">
        <v>79</v>
      </c>
      <c r="J34" s="1">
        <v>106</v>
      </c>
      <c r="K34" s="1">
        <v>26</v>
      </c>
      <c r="L34" s="1">
        <v>12</v>
      </c>
      <c r="M34" s="1">
        <v>69</v>
      </c>
      <c r="N34" s="1">
        <v>269</v>
      </c>
      <c r="O34" s="1">
        <v>62</v>
      </c>
      <c r="P34" s="1">
        <v>74</v>
      </c>
      <c r="Q34" s="1">
        <v>31</v>
      </c>
      <c r="R34" s="1">
        <v>24</v>
      </c>
      <c r="S34" s="2"/>
      <c r="T34" s="1"/>
      <c r="U34" s="1">
        <f t="shared" si="0"/>
        <v>61.357142857142854</v>
      </c>
    </row>
    <row r="35" spans="1:21" x14ac:dyDescent="0.25">
      <c r="A35">
        <v>2004</v>
      </c>
      <c r="B35" s="1">
        <v>8</v>
      </c>
      <c r="C35" s="1">
        <v>26</v>
      </c>
      <c r="D35" s="1"/>
      <c r="E35" s="1"/>
      <c r="F35" s="1">
        <v>7</v>
      </c>
      <c r="G35" s="1">
        <v>23</v>
      </c>
      <c r="H35" s="1"/>
      <c r="I35" s="1">
        <v>75</v>
      </c>
      <c r="J35" s="1">
        <v>70</v>
      </c>
      <c r="K35" s="1">
        <v>15</v>
      </c>
      <c r="L35" s="1">
        <v>31</v>
      </c>
      <c r="M35" s="1">
        <v>7</v>
      </c>
      <c r="N35" s="1">
        <v>312</v>
      </c>
      <c r="O35" s="1">
        <v>71</v>
      </c>
      <c r="P35" s="1">
        <v>45</v>
      </c>
      <c r="Q35" s="1">
        <v>55</v>
      </c>
      <c r="R35" s="1">
        <v>13</v>
      </c>
      <c r="S35" s="2"/>
      <c r="T35" s="1"/>
      <c r="U35" s="1">
        <f t="shared" si="0"/>
        <v>54.142857142857146</v>
      </c>
    </row>
    <row r="36" spans="1:21" x14ac:dyDescent="0.25">
      <c r="A36">
        <v>2005</v>
      </c>
      <c r="B36" s="1">
        <v>14</v>
      </c>
      <c r="C36" s="1">
        <v>44</v>
      </c>
      <c r="D36" s="1"/>
      <c r="E36" s="1"/>
      <c r="F36" s="1"/>
      <c r="G36" s="1">
        <v>17</v>
      </c>
      <c r="H36" s="1"/>
      <c r="I36" s="1">
        <v>101</v>
      </c>
      <c r="J36" s="1">
        <v>57</v>
      </c>
      <c r="K36" s="1">
        <v>29</v>
      </c>
      <c r="L36" s="1">
        <v>24</v>
      </c>
      <c r="M36" s="1">
        <v>9</v>
      </c>
      <c r="N36" s="1">
        <v>335</v>
      </c>
      <c r="O36" s="1">
        <v>40</v>
      </c>
      <c r="P36" s="1">
        <v>56</v>
      </c>
      <c r="Q36" s="1">
        <v>49</v>
      </c>
      <c r="R36" s="1">
        <v>53</v>
      </c>
      <c r="S36" s="2"/>
      <c r="T36" s="1"/>
      <c r="U36" s="1">
        <f t="shared" si="0"/>
        <v>63.692307692307693</v>
      </c>
    </row>
    <row r="37" spans="1:21" x14ac:dyDescent="0.25">
      <c r="A37">
        <v>2006</v>
      </c>
      <c r="B37" s="1">
        <v>11</v>
      </c>
      <c r="C37" s="1">
        <v>40</v>
      </c>
      <c r="D37" s="1"/>
      <c r="E37" s="1"/>
      <c r="F37" s="1">
        <v>20</v>
      </c>
      <c r="G37" s="1">
        <v>35</v>
      </c>
      <c r="H37" s="1"/>
      <c r="I37" s="1">
        <v>65</v>
      </c>
      <c r="J37" s="1">
        <v>71</v>
      </c>
      <c r="K37" s="1">
        <v>25</v>
      </c>
      <c r="L37" s="1">
        <v>10</v>
      </c>
      <c r="M37" s="1">
        <v>11</v>
      </c>
      <c r="N37" s="1">
        <v>156</v>
      </c>
      <c r="O37" s="1">
        <v>49</v>
      </c>
      <c r="P37" s="1">
        <v>46</v>
      </c>
      <c r="Q37" s="1">
        <v>46</v>
      </c>
      <c r="R37" s="1">
        <v>22</v>
      </c>
      <c r="S37" s="2"/>
      <c r="T37" s="1"/>
      <c r="U37" s="1">
        <f t="shared" si="0"/>
        <v>43.357142857142854</v>
      </c>
    </row>
    <row r="38" spans="1:21" x14ac:dyDescent="0.25">
      <c r="A38">
        <v>2007</v>
      </c>
      <c r="B38" s="1">
        <v>8</v>
      </c>
      <c r="C38" s="1">
        <v>31</v>
      </c>
      <c r="D38" s="1"/>
      <c r="E38" s="1"/>
      <c r="F38" s="1">
        <v>26</v>
      </c>
      <c r="G38" s="1">
        <v>32</v>
      </c>
      <c r="H38" s="1"/>
      <c r="I38" s="1">
        <v>50</v>
      </c>
      <c r="J38" s="1">
        <v>36</v>
      </c>
      <c r="K38" s="1">
        <v>18</v>
      </c>
      <c r="L38" s="1">
        <v>22</v>
      </c>
      <c r="M38" s="1">
        <v>21</v>
      </c>
      <c r="N38" s="1">
        <v>76</v>
      </c>
      <c r="O38" s="1">
        <v>27</v>
      </c>
      <c r="P38" s="1">
        <v>34</v>
      </c>
      <c r="Q38" s="1">
        <v>50</v>
      </c>
      <c r="R38" s="1">
        <v>0</v>
      </c>
      <c r="S38" s="2"/>
      <c r="T38" s="1"/>
      <c r="U38" s="1">
        <f t="shared" si="0"/>
        <v>30.785714285714285</v>
      </c>
    </row>
    <row r="39" spans="1:21" x14ac:dyDescent="0.25">
      <c r="A39">
        <v>2008</v>
      </c>
      <c r="B39" s="1"/>
      <c r="C39" s="1">
        <v>17</v>
      </c>
      <c r="D39" s="1"/>
      <c r="E39" s="1"/>
      <c r="F39" s="1">
        <v>7</v>
      </c>
      <c r="G39" s="1">
        <v>16</v>
      </c>
      <c r="H39" s="1"/>
      <c r="I39" s="1">
        <v>65</v>
      </c>
      <c r="J39" s="1">
        <v>59</v>
      </c>
      <c r="K39" s="1">
        <v>15</v>
      </c>
      <c r="L39" s="1">
        <v>22</v>
      </c>
      <c r="M39" s="1">
        <v>27</v>
      </c>
      <c r="N39" s="1">
        <v>143</v>
      </c>
      <c r="O39" s="1">
        <v>44</v>
      </c>
      <c r="P39" s="1">
        <v>30</v>
      </c>
      <c r="Q39" s="1">
        <v>27</v>
      </c>
      <c r="R39" s="1">
        <v>12</v>
      </c>
      <c r="S39" s="2"/>
      <c r="T39" s="1"/>
      <c r="U39" s="1">
        <f t="shared" si="0"/>
        <v>37.230769230769234</v>
      </c>
    </row>
    <row r="40" spans="1:21" x14ac:dyDescent="0.25">
      <c r="A40">
        <v>2009</v>
      </c>
      <c r="B40" s="1">
        <v>22</v>
      </c>
      <c r="C40" s="1">
        <v>37</v>
      </c>
      <c r="D40" s="1"/>
      <c r="E40" s="1"/>
      <c r="F40" s="1">
        <v>23</v>
      </c>
      <c r="G40" s="1">
        <v>77</v>
      </c>
      <c r="H40" s="1"/>
      <c r="I40" s="1">
        <v>43</v>
      </c>
      <c r="J40" s="1">
        <v>109</v>
      </c>
      <c r="K40" s="1">
        <v>17</v>
      </c>
      <c r="L40" s="1">
        <v>10</v>
      </c>
      <c r="M40" s="1">
        <v>15</v>
      </c>
      <c r="N40" s="1">
        <v>272</v>
      </c>
      <c r="O40" s="1">
        <v>40</v>
      </c>
      <c r="P40" s="1">
        <v>39</v>
      </c>
      <c r="Q40" s="1">
        <v>23</v>
      </c>
      <c r="R40" s="1">
        <v>0</v>
      </c>
      <c r="S40" s="1"/>
      <c r="T40" s="1"/>
      <c r="U40" s="1">
        <f t="shared" si="0"/>
        <v>51.928571428571431</v>
      </c>
    </row>
    <row r="41" spans="1:21" x14ac:dyDescent="0.25">
      <c r="A41">
        <v>2010</v>
      </c>
      <c r="B41" s="1">
        <v>23</v>
      </c>
      <c r="C41" s="1">
        <v>57</v>
      </c>
      <c r="D41" s="1"/>
      <c r="E41" s="1"/>
      <c r="F41" s="1">
        <v>36</v>
      </c>
      <c r="G41" s="1">
        <v>36</v>
      </c>
      <c r="H41" s="1"/>
      <c r="I41" s="1">
        <v>121</v>
      </c>
      <c r="J41" s="1">
        <v>86</v>
      </c>
      <c r="K41" s="1">
        <v>19</v>
      </c>
      <c r="L41" s="1">
        <v>32</v>
      </c>
      <c r="M41" s="1">
        <v>33</v>
      </c>
      <c r="N41" s="1">
        <v>490</v>
      </c>
      <c r="O41" s="1">
        <v>70</v>
      </c>
      <c r="P41" s="1">
        <v>42</v>
      </c>
      <c r="Q41" s="1">
        <v>35</v>
      </c>
      <c r="R41" s="1">
        <v>46</v>
      </c>
      <c r="S41" s="1"/>
      <c r="T41" s="1"/>
      <c r="U41" s="1">
        <f t="shared" si="0"/>
        <v>80.428571428571431</v>
      </c>
    </row>
    <row r="42" spans="1:21" x14ac:dyDescent="0.25">
      <c r="A42">
        <v>2011</v>
      </c>
      <c r="B42" s="1">
        <v>16</v>
      </c>
      <c r="C42" s="1">
        <v>19</v>
      </c>
      <c r="D42" s="1"/>
      <c r="E42" s="1"/>
      <c r="F42" s="1">
        <v>36</v>
      </c>
      <c r="G42" s="1">
        <v>12</v>
      </c>
      <c r="H42" s="1"/>
      <c r="I42" s="1">
        <v>45</v>
      </c>
      <c r="J42" s="1">
        <v>98</v>
      </c>
      <c r="K42" s="1">
        <v>28</v>
      </c>
      <c r="L42" s="1">
        <v>24</v>
      </c>
      <c r="M42" s="1">
        <v>31</v>
      </c>
      <c r="N42" s="1">
        <v>186</v>
      </c>
      <c r="O42" s="1">
        <v>73</v>
      </c>
      <c r="P42" s="1">
        <v>22</v>
      </c>
      <c r="Q42" s="1">
        <v>23</v>
      </c>
      <c r="R42" s="1">
        <v>15</v>
      </c>
      <c r="S42" s="1"/>
      <c r="T42" s="1"/>
      <c r="U42" s="1">
        <f t="shared" si="0"/>
        <v>44.857142857142854</v>
      </c>
    </row>
    <row r="43" spans="1:21" x14ac:dyDescent="0.25">
      <c r="A43">
        <v>2012</v>
      </c>
      <c r="B43" s="1">
        <v>11</v>
      </c>
      <c r="C43" s="1">
        <v>27</v>
      </c>
      <c r="D43" s="1"/>
      <c r="E43" s="1"/>
      <c r="F43" s="1">
        <v>34</v>
      </c>
      <c r="G43" s="1">
        <v>64</v>
      </c>
      <c r="H43" s="1"/>
      <c r="I43" s="1">
        <v>88</v>
      </c>
      <c r="J43" s="1">
        <v>95</v>
      </c>
      <c r="K43" s="1">
        <v>34</v>
      </c>
      <c r="L43" s="1">
        <v>40</v>
      </c>
      <c r="M43" s="1">
        <v>38</v>
      </c>
      <c r="N43" s="1">
        <v>183</v>
      </c>
      <c r="O43" s="1">
        <v>60</v>
      </c>
      <c r="P43" s="1">
        <v>84</v>
      </c>
      <c r="Q43" s="1">
        <v>26</v>
      </c>
      <c r="R43" s="1">
        <v>33</v>
      </c>
      <c r="S43" s="1"/>
      <c r="T43" s="1"/>
      <c r="U43" s="1">
        <f t="shared" si="0"/>
        <v>58.357142857142854</v>
      </c>
    </row>
    <row r="44" spans="1:21" x14ac:dyDescent="0.25">
      <c r="A44">
        <v>2013</v>
      </c>
      <c r="B44" s="1">
        <v>24</v>
      </c>
      <c r="C44" s="1">
        <v>87</v>
      </c>
      <c r="D44" s="1"/>
      <c r="E44" s="1"/>
      <c r="F44" s="1">
        <v>26</v>
      </c>
      <c r="G44" s="1">
        <v>52</v>
      </c>
      <c r="H44" s="1"/>
      <c r="I44" s="1">
        <v>96</v>
      </c>
      <c r="J44" s="1">
        <v>109</v>
      </c>
      <c r="K44" s="1">
        <v>62</v>
      </c>
      <c r="L44" s="1">
        <v>46</v>
      </c>
      <c r="M44" s="1"/>
      <c r="N44" s="1">
        <v>214</v>
      </c>
      <c r="O44" s="1">
        <v>71</v>
      </c>
      <c r="P44" s="1">
        <v>68</v>
      </c>
      <c r="Q44" s="1">
        <v>93</v>
      </c>
      <c r="R44" s="1">
        <v>58</v>
      </c>
      <c r="S44" s="1"/>
      <c r="T44" s="1"/>
      <c r="U44" s="1">
        <f t="shared" si="0"/>
        <v>77.384615384615387</v>
      </c>
    </row>
    <row r="45" spans="1:21" x14ac:dyDescent="0.25">
      <c r="A45">
        <v>2014</v>
      </c>
      <c r="B45" s="1">
        <v>13</v>
      </c>
      <c r="C45" s="1">
        <v>72</v>
      </c>
      <c r="D45" s="1"/>
      <c r="E45" s="1"/>
      <c r="F45" s="1">
        <v>36</v>
      </c>
      <c r="G45" s="1">
        <v>21</v>
      </c>
      <c r="H45" s="1"/>
      <c r="I45" s="1">
        <v>96</v>
      </c>
      <c r="J45" s="1">
        <v>83</v>
      </c>
      <c r="K45" s="1">
        <v>58</v>
      </c>
      <c r="L45" s="1">
        <v>0</v>
      </c>
      <c r="M45" s="1">
        <v>190</v>
      </c>
      <c r="N45" s="1">
        <v>110</v>
      </c>
      <c r="O45" s="1">
        <v>36</v>
      </c>
      <c r="P45" s="1">
        <v>44</v>
      </c>
      <c r="Q45" s="1">
        <v>87</v>
      </c>
      <c r="R45" s="1">
        <v>54</v>
      </c>
      <c r="S45" s="1"/>
      <c r="T45" s="1"/>
      <c r="U45" s="1">
        <f t="shared" si="0"/>
        <v>64.285714285714292</v>
      </c>
    </row>
    <row r="46" spans="1:21" x14ac:dyDescent="0.25">
      <c r="A46">
        <v>2015</v>
      </c>
      <c r="B46" s="1">
        <v>40</v>
      </c>
      <c r="C46" s="1">
        <v>29</v>
      </c>
      <c r="D46" s="1"/>
      <c r="E46" s="1"/>
      <c r="F46" s="1">
        <v>10</v>
      </c>
      <c r="G46" s="1">
        <v>31</v>
      </c>
      <c r="H46" s="1"/>
      <c r="I46" s="1">
        <v>39</v>
      </c>
      <c r="J46" s="1">
        <v>87</v>
      </c>
      <c r="K46" s="1">
        <v>11</v>
      </c>
      <c r="L46" s="1">
        <v>38</v>
      </c>
      <c r="M46" s="1">
        <v>36</v>
      </c>
      <c r="N46" s="1">
        <v>201</v>
      </c>
      <c r="O46" s="1">
        <v>40</v>
      </c>
      <c r="P46" s="1">
        <v>40</v>
      </c>
      <c r="Q46" s="1">
        <v>30</v>
      </c>
      <c r="R46" s="1">
        <v>16</v>
      </c>
      <c r="S46" s="1"/>
      <c r="T46" s="1"/>
      <c r="U46" s="1">
        <f t="shared" si="0"/>
        <v>46.285714285714285</v>
      </c>
    </row>
    <row r="47" spans="1:21" x14ac:dyDescent="0.25">
      <c r="A47">
        <v>2016</v>
      </c>
      <c r="B47" s="1">
        <v>26</v>
      </c>
      <c r="C47" s="1">
        <v>23</v>
      </c>
      <c r="D47" s="1"/>
      <c r="E47" s="1"/>
      <c r="F47" s="1">
        <v>14</v>
      </c>
      <c r="G47" s="1">
        <v>14</v>
      </c>
      <c r="H47" s="1"/>
      <c r="I47" s="1">
        <v>47</v>
      </c>
      <c r="J47" s="1">
        <v>99</v>
      </c>
      <c r="K47" s="1">
        <v>7</v>
      </c>
      <c r="L47" s="1">
        <v>20</v>
      </c>
      <c r="M47" s="1">
        <v>11</v>
      </c>
      <c r="N47" s="1">
        <v>244</v>
      </c>
      <c r="O47" s="1">
        <v>50</v>
      </c>
      <c r="P47" s="1">
        <v>60</v>
      </c>
      <c r="Q47" s="1">
        <v>33</v>
      </c>
      <c r="R47" s="1">
        <v>0</v>
      </c>
      <c r="S47" s="1"/>
      <c r="T47" s="1"/>
      <c r="U47" s="1">
        <f t="shared" si="0"/>
        <v>46.285714285714285</v>
      </c>
    </row>
    <row r="48" spans="1:21" x14ac:dyDescent="0.25">
      <c r="A48">
        <v>2017</v>
      </c>
      <c r="B48" s="1">
        <v>42</v>
      </c>
      <c r="C48" s="1">
        <v>41</v>
      </c>
      <c r="D48" s="1"/>
      <c r="E48" s="1"/>
      <c r="F48" s="1">
        <v>22</v>
      </c>
      <c r="G48" s="1">
        <v>47</v>
      </c>
      <c r="H48" s="1"/>
      <c r="I48" s="1">
        <v>80</v>
      </c>
      <c r="J48" s="1">
        <v>95</v>
      </c>
      <c r="K48" s="1">
        <v>169</v>
      </c>
      <c r="L48" s="1">
        <v>46</v>
      </c>
      <c r="M48" s="1">
        <v>22</v>
      </c>
      <c r="N48" s="1">
        <v>389</v>
      </c>
      <c r="O48" s="1">
        <v>89</v>
      </c>
      <c r="P48" s="1">
        <v>50</v>
      </c>
      <c r="Q48" s="1">
        <v>63</v>
      </c>
      <c r="R48" s="1">
        <v>38</v>
      </c>
      <c r="S48" s="1"/>
      <c r="T48" s="1"/>
      <c r="U48" s="1">
        <f t="shared" si="0"/>
        <v>85.214285714285708</v>
      </c>
    </row>
    <row r="49" spans="1:21" x14ac:dyDescent="0.25">
      <c r="A49">
        <v>2018</v>
      </c>
      <c r="B49" s="1">
        <v>25</v>
      </c>
      <c r="C49" s="1">
        <v>25</v>
      </c>
      <c r="D49" s="1"/>
      <c r="E49" s="1"/>
      <c r="F49" s="1"/>
      <c r="G49" s="1">
        <v>23</v>
      </c>
      <c r="H49" s="1"/>
      <c r="I49" s="1">
        <v>53</v>
      </c>
      <c r="J49" s="1">
        <v>81</v>
      </c>
      <c r="K49" s="1">
        <v>18</v>
      </c>
      <c r="L49" s="1">
        <v>44</v>
      </c>
      <c r="M49" s="1">
        <v>12</v>
      </c>
      <c r="N49" s="1">
        <v>234</v>
      </c>
      <c r="O49" s="1">
        <v>43</v>
      </c>
      <c r="P49" s="1">
        <v>40</v>
      </c>
      <c r="Q49" s="1">
        <v>46</v>
      </c>
      <c r="R49" s="1">
        <v>19</v>
      </c>
      <c r="S49" s="1"/>
      <c r="T49" s="1"/>
      <c r="U49" s="1">
        <f t="shared" si="0"/>
        <v>51</v>
      </c>
    </row>
    <row r="50" spans="1:21" x14ac:dyDescent="0.25">
      <c r="A50">
        <v>2019</v>
      </c>
      <c r="B50" s="1">
        <v>62</v>
      </c>
      <c r="C50" s="1">
        <v>29</v>
      </c>
      <c r="D50" s="1"/>
      <c r="E50" s="1"/>
      <c r="F50" s="1"/>
      <c r="G50" s="1">
        <v>32</v>
      </c>
      <c r="H50" s="1"/>
      <c r="I50" s="1">
        <v>105</v>
      </c>
      <c r="J50" s="1">
        <v>110</v>
      </c>
      <c r="K50" s="1">
        <v>32</v>
      </c>
      <c r="L50" s="1">
        <v>42</v>
      </c>
      <c r="M50" s="1">
        <v>16</v>
      </c>
      <c r="N50" s="1">
        <v>136</v>
      </c>
      <c r="O50" s="1">
        <v>55</v>
      </c>
      <c r="P50" s="1">
        <v>62</v>
      </c>
      <c r="Q50" s="1">
        <v>29</v>
      </c>
      <c r="R50" s="1">
        <v>15</v>
      </c>
      <c r="S50" s="1"/>
      <c r="T50" s="1"/>
      <c r="U50" s="1">
        <f t="shared" si="0"/>
        <v>55.769230769230766</v>
      </c>
    </row>
    <row r="51" spans="1:21" x14ac:dyDescent="0.25">
      <c r="A51">
        <v>2020</v>
      </c>
      <c r="B51" s="1">
        <v>14</v>
      </c>
      <c r="C51" s="1">
        <v>134</v>
      </c>
      <c r="D51" s="1"/>
      <c r="E51" s="1"/>
      <c r="F51" s="1">
        <v>22</v>
      </c>
      <c r="G51" s="1">
        <v>32</v>
      </c>
      <c r="H51" s="1"/>
      <c r="I51" s="1">
        <v>46</v>
      </c>
      <c r="J51" s="1">
        <v>44</v>
      </c>
      <c r="K51" s="1">
        <v>49</v>
      </c>
      <c r="L51" s="1">
        <v>25</v>
      </c>
      <c r="M51" s="1">
        <v>8</v>
      </c>
      <c r="N51" s="1">
        <v>125</v>
      </c>
      <c r="O51" s="1">
        <v>31</v>
      </c>
      <c r="P51" s="1">
        <v>44</v>
      </c>
      <c r="Q51" s="1">
        <v>54</v>
      </c>
      <c r="R51" s="1">
        <v>11</v>
      </c>
      <c r="S51" s="1"/>
      <c r="T51" s="1"/>
      <c r="U51" s="1">
        <f t="shared" si="0"/>
        <v>45.642857142857146</v>
      </c>
    </row>
    <row r="52" spans="1:21" x14ac:dyDescent="0.25">
      <c r="A52">
        <v>2021</v>
      </c>
      <c r="B52" s="1"/>
      <c r="C52" s="1">
        <v>22</v>
      </c>
      <c r="D52" s="1"/>
      <c r="E52" s="1"/>
      <c r="F52" s="1">
        <v>19</v>
      </c>
      <c r="G52" s="1">
        <v>28</v>
      </c>
      <c r="H52" s="1"/>
      <c r="I52" s="1">
        <v>43</v>
      </c>
      <c r="J52" s="1">
        <v>35</v>
      </c>
      <c r="K52" s="1">
        <v>10</v>
      </c>
      <c r="L52" s="1">
        <v>20</v>
      </c>
      <c r="M52" s="1">
        <v>19</v>
      </c>
      <c r="N52" s="1">
        <v>106</v>
      </c>
      <c r="O52" s="1">
        <v>30</v>
      </c>
      <c r="P52" s="1">
        <v>20</v>
      </c>
      <c r="Q52" s="1">
        <v>21</v>
      </c>
      <c r="R52" s="1">
        <v>23</v>
      </c>
      <c r="S52" s="1"/>
      <c r="T52" s="1"/>
      <c r="U52" s="1">
        <f t="shared" si="0"/>
        <v>30.46153846153846</v>
      </c>
    </row>
    <row r="53" spans="1:21" x14ac:dyDescent="0.25">
      <c r="A53">
        <v>2022</v>
      </c>
      <c r="B53" s="1">
        <v>86</v>
      </c>
      <c r="C53" s="1">
        <v>0</v>
      </c>
      <c r="D53" s="1"/>
      <c r="E53" s="1"/>
      <c r="F53" s="1">
        <v>0</v>
      </c>
      <c r="G53" s="1">
        <v>11</v>
      </c>
      <c r="H53" s="1"/>
      <c r="I53" s="1">
        <v>57</v>
      </c>
      <c r="J53" s="1">
        <v>36</v>
      </c>
      <c r="K53" s="1">
        <v>36</v>
      </c>
      <c r="L53" s="1">
        <v>32</v>
      </c>
      <c r="M53" s="1">
        <v>16</v>
      </c>
      <c r="N53" s="1">
        <v>216</v>
      </c>
      <c r="O53" s="1">
        <v>54</v>
      </c>
      <c r="P53" s="1">
        <v>96</v>
      </c>
      <c r="Q53" s="1">
        <v>50</v>
      </c>
      <c r="R53" s="1">
        <v>16</v>
      </c>
      <c r="S53" s="1"/>
      <c r="T53" s="1"/>
      <c r="U53" s="1">
        <f t="shared" si="0"/>
        <v>50.428571428571431</v>
      </c>
    </row>
    <row r="54" spans="1:21" x14ac:dyDescent="0.25">
      <c r="A54">
        <v>2023</v>
      </c>
      <c r="B54" s="1">
        <v>12</v>
      </c>
      <c r="C54" s="1">
        <v>43</v>
      </c>
      <c r="D54" s="1"/>
      <c r="E54" s="1"/>
      <c r="F54" s="1">
        <v>20</v>
      </c>
      <c r="G54" s="1">
        <v>52</v>
      </c>
      <c r="H54" s="1"/>
      <c r="I54" s="1">
        <v>81</v>
      </c>
      <c r="J54" s="1">
        <v>76</v>
      </c>
      <c r="K54" s="1">
        <v>18</v>
      </c>
      <c r="L54" s="1">
        <v>32</v>
      </c>
      <c r="M54" s="1">
        <v>15</v>
      </c>
      <c r="N54" s="1">
        <v>254</v>
      </c>
      <c r="O54" s="1">
        <v>40</v>
      </c>
      <c r="P54" s="1">
        <v>112</v>
      </c>
      <c r="Q54" s="1">
        <v>17</v>
      </c>
      <c r="R54" s="1">
        <v>9</v>
      </c>
      <c r="S54" s="1"/>
      <c r="T54" s="1"/>
      <c r="U54" s="1">
        <f t="shared" si="0"/>
        <v>55.785714285714285</v>
      </c>
    </row>
    <row r="55" spans="1:21" x14ac:dyDescent="0.25">
      <c r="A55">
        <v>2024</v>
      </c>
      <c r="B55" s="1">
        <v>50</v>
      </c>
      <c r="C55" s="1">
        <v>64</v>
      </c>
      <c r="D55" s="1"/>
      <c r="E55" s="1"/>
      <c r="F55" s="1">
        <v>20</v>
      </c>
      <c r="G55" s="1">
        <v>52</v>
      </c>
      <c r="H55" s="1"/>
      <c r="I55" s="1">
        <v>45</v>
      </c>
      <c r="J55" s="1">
        <v>42</v>
      </c>
      <c r="K55" s="1">
        <v>28</v>
      </c>
      <c r="L55" s="1">
        <v>31</v>
      </c>
      <c r="M55" s="1"/>
      <c r="N55" s="1">
        <v>327</v>
      </c>
      <c r="O55" s="1">
        <v>90</v>
      </c>
      <c r="P55" s="1">
        <v>22</v>
      </c>
      <c r="Q55" s="1">
        <v>68</v>
      </c>
      <c r="R55" s="1">
        <v>10</v>
      </c>
      <c r="S55" s="1"/>
      <c r="T55" s="1"/>
      <c r="U55" s="1">
        <f t="shared" si="0"/>
        <v>65.307692307692307</v>
      </c>
    </row>
    <row r="56" spans="1:21" x14ac:dyDescent="0.25">
      <c r="A56">
        <v>2025</v>
      </c>
      <c r="B56" s="1"/>
      <c r="C56" s="1">
        <v>32</v>
      </c>
      <c r="D56" s="1"/>
      <c r="E56" s="1"/>
      <c r="F56" s="1"/>
      <c r="G56" s="1"/>
      <c r="H56" s="1"/>
      <c r="I56" s="1">
        <v>85</v>
      </c>
      <c r="J56" s="1">
        <v>62</v>
      </c>
      <c r="K56" s="1">
        <v>14</v>
      </c>
      <c r="L56" s="1">
        <v>17</v>
      </c>
      <c r="M56" s="1">
        <v>10</v>
      </c>
      <c r="N56" s="1">
        <v>167</v>
      </c>
      <c r="O56" s="1">
        <v>37</v>
      </c>
      <c r="P56" s="1">
        <v>62</v>
      </c>
      <c r="Q56" s="1">
        <v>42</v>
      </c>
      <c r="R56" s="1">
        <v>18</v>
      </c>
      <c r="S56" s="1"/>
      <c r="T56" s="1"/>
      <c r="U56" s="1">
        <f t="shared" si="0"/>
        <v>49.636363636363633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6"/>
  <sheetViews>
    <sheetView workbookViewId="0">
      <selection activeCell="K1" sqref="K1"/>
    </sheetView>
  </sheetViews>
  <sheetFormatPr defaultRowHeight="15" x14ac:dyDescent="0.25"/>
  <sheetData>
    <row r="1" spans="1:11" x14ac:dyDescent="0.25"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69</v>
      </c>
      <c r="K1" s="4" t="s">
        <v>214</v>
      </c>
    </row>
    <row r="2" spans="1:11" x14ac:dyDescent="0.25">
      <c r="A2">
        <v>1971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x14ac:dyDescent="0.25">
      <c r="A3">
        <v>1972</v>
      </c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x14ac:dyDescent="0.25">
      <c r="A4">
        <v>1973</v>
      </c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x14ac:dyDescent="0.25">
      <c r="A5">
        <v>1974</v>
      </c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x14ac:dyDescent="0.25">
      <c r="A6">
        <v>1975</v>
      </c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x14ac:dyDescent="0.25">
      <c r="A7">
        <v>1976</v>
      </c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x14ac:dyDescent="0.25">
      <c r="A8">
        <v>1977</v>
      </c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x14ac:dyDescent="0.25">
      <c r="A9">
        <v>1978</v>
      </c>
      <c r="B9" s="1">
        <v>11</v>
      </c>
      <c r="C9" s="1">
        <v>16</v>
      </c>
      <c r="D9" s="1"/>
      <c r="E9" s="1">
        <v>37</v>
      </c>
      <c r="F9" s="1"/>
      <c r="G9" s="1">
        <v>8</v>
      </c>
      <c r="H9" s="1">
        <v>43</v>
      </c>
      <c r="I9" s="1"/>
      <c r="J9" s="1">
        <v>43</v>
      </c>
      <c r="K9" s="1">
        <f t="shared" ref="K9:K56" si="0">AVERAGE(B9:J9)</f>
        <v>26.333333333333332</v>
      </c>
    </row>
    <row r="10" spans="1:11" x14ac:dyDescent="0.25">
      <c r="A10">
        <v>1979</v>
      </c>
      <c r="B10" s="1">
        <v>0</v>
      </c>
      <c r="C10" s="1">
        <v>0</v>
      </c>
      <c r="D10" s="1"/>
      <c r="E10" s="1">
        <v>24</v>
      </c>
      <c r="F10" s="1"/>
      <c r="G10" s="1">
        <v>0</v>
      </c>
      <c r="H10" s="1">
        <v>20</v>
      </c>
      <c r="I10" s="1"/>
      <c r="J10" s="1">
        <v>21</v>
      </c>
      <c r="K10" s="1">
        <f t="shared" si="0"/>
        <v>10.833333333333334</v>
      </c>
    </row>
    <row r="11" spans="1:11" x14ac:dyDescent="0.25">
      <c r="A11">
        <v>1980</v>
      </c>
      <c r="B11" s="1">
        <v>19</v>
      </c>
      <c r="C11" s="1">
        <v>7</v>
      </c>
      <c r="D11" s="1"/>
      <c r="E11" s="1">
        <v>46</v>
      </c>
      <c r="F11" s="1"/>
      <c r="G11" s="1">
        <v>6</v>
      </c>
      <c r="H11" s="1">
        <v>29</v>
      </c>
      <c r="I11" s="1">
        <v>20</v>
      </c>
      <c r="J11" s="1">
        <v>29</v>
      </c>
      <c r="K11" s="1">
        <f t="shared" si="0"/>
        <v>22.285714285714285</v>
      </c>
    </row>
    <row r="12" spans="1:11" x14ac:dyDescent="0.25">
      <c r="A12">
        <v>1981</v>
      </c>
      <c r="B12" s="1">
        <v>0</v>
      </c>
      <c r="C12" s="1">
        <v>0</v>
      </c>
      <c r="D12" s="1"/>
      <c r="E12" s="1">
        <v>21</v>
      </c>
      <c r="F12" s="1">
        <v>18</v>
      </c>
      <c r="G12" s="1">
        <v>10</v>
      </c>
      <c r="H12" s="1">
        <v>0</v>
      </c>
      <c r="I12" s="1">
        <v>0</v>
      </c>
      <c r="J12" s="1">
        <v>0</v>
      </c>
      <c r="K12" s="1">
        <f t="shared" si="0"/>
        <v>6.125</v>
      </c>
    </row>
    <row r="13" spans="1:11" x14ac:dyDescent="0.25">
      <c r="A13">
        <v>1982</v>
      </c>
      <c r="B13" s="1">
        <v>24</v>
      </c>
      <c r="C13" s="1">
        <v>8</v>
      </c>
      <c r="D13" s="1"/>
      <c r="E13" s="1">
        <v>51</v>
      </c>
      <c r="F13" s="1">
        <v>60</v>
      </c>
      <c r="G13" s="1">
        <v>0</v>
      </c>
      <c r="H13" s="1">
        <v>1</v>
      </c>
      <c r="I13" s="1">
        <v>14</v>
      </c>
      <c r="J13" s="1">
        <v>21</v>
      </c>
      <c r="K13" s="1">
        <f t="shared" si="0"/>
        <v>22.375</v>
      </c>
    </row>
    <row r="14" spans="1:11" x14ac:dyDescent="0.25">
      <c r="A14">
        <v>1983</v>
      </c>
      <c r="B14" s="1">
        <v>0</v>
      </c>
      <c r="C14" s="1">
        <v>7</v>
      </c>
      <c r="D14" s="1"/>
      <c r="E14" s="1">
        <v>25</v>
      </c>
      <c r="F14" s="1">
        <v>43</v>
      </c>
      <c r="G14" s="1">
        <v>0</v>
      </c>
      <c r="H14" s="1">
        <v>27</v>
      </c>
      <c r="I14" s="1">
        <v>27</v>
      </c>
      <c r="J14" s="1">
        <v>48</v>
      </c>
      <c r="K14" s="1">
        <f t="shared" si="0"/>
        <v>22.125</v>
      </c>
    </row>
    <row r="15" spans="1:11" x14ac:dyDescent="0.25">
      <c r="A15">
        <v>1984</v>
      </c>
      <c r="B15" s="1">
        <v>3</v>
      </c>
      <c r="C15" s="1">
        <v>0</v>
      </c>
      <c r="D15" s="1"/>
      <c r="E15" s="1">
        <v>11</v>
      </c>
      <c r="F15" s="1">
        <v>0</v>
      </c>
      <c r="G15" s="1">
        <v>0</v>
      </c>
      <c r="H15" s="1">
        <v>0</v>
      </c>
      <c r="I15" s="1">
        <v>0</v>
      </c>
      <c r="J15" s="1">
        <v>8</v>
      </c>
      <c r="K15" s="1">
        <f t="shared" si="0"/>
        <v>2.75</v>
      </c>
    </row>
    <row r="16" spans="1:11" x14ac:dyDescent="0.25">
      <c r="A16">
        <v>1985</v>
      </c>
      <c r="B16" s="1">
        <v>52</v>
      </c>
      <c r="C16" s="1">
        <v>21</v>
      </c>
      <c r="D16" s="1"/>
      <c r="E16" s="1">
        <v>54</v>
      </c>
      <c r="F16" s="1">
        <v>63</v>
      </c>
      <c r="G16" s="1">
        <v>61</v>
      </c>
      <c r="H16" s="1">
        <v>99</v>
      </c>
      <c r="I16" s="1">
        <v>51</v>
      </c>
      <c r="J16" s="1">
        <v>26</v>
      </c>
      <c r="K16" s="1">
        <f t="shared" si="0"/>
        <v>53.375</v>
      </c>
    </row>
    <row r="17" spans="1:11" x14ac:dyDescent="0.25">
      <c r="A17">
        <v>1986</v>
      </c>
      <c r="B17" s="1">
        <v>32</v>
      </c>
      <c r="C17" s="1">
        <v>12</v>
      </c>
      <c r="D17" s="1"/>
      <c r="E17" s="1">
        <v>55</v>
      </c>
      <c r="F17" s="1">
        <v>60</v>
      </c>
      <c r="G17" s="1">
        <v>30</v>
      </c>
      <c r="H17" s="1">
        <v>36</v>
      </c>
      <c r="I17" s="1">
        <v>38</v>
      </c>
      <c r="J17" s="1">
        <v>64</v>
      </c>
      <c r="K17" s="1">
        <f t="shared" si="0"/>
        <v>40.875</v>
      </c>
    </row>
    <row r="18" spans="1:11" x14ac:dyDescent="0.25">
      <c r="A18">
        <v>1987</v>
      </c>
      <c r="B18" s="1">
        <v>27</v>
      </c>
      <c r="C18" s="1">
        <v>11</v>
      </c>
      <c r="D18" s="1"/>
      <c r="E18" s="1">
        <v>59</v>
      </c>
      <c r="F18" s="1">
        <v>44</v>
      </c>
      <c r="G18" s="1">
        <v>33</v>
      </c>
      <c r="H18" s="1">
        <v>38</v>
      </c>
      <c r="I18" s="1">
        <v>10</v>
      </c>
      <c r="J18" s="1">
        <v>48</v>
      </c>
      <c r="K18" s="1">
        <f t="shared" si="0"/>
        <v>33.75</v>
      </c>
    </row>
    <row r="19" spans="1:11" x14ac:dyDescent="0.25">
      <c r="A19">
        <v>1988</v>
      </c>
      <c r="B19" s="1">
        <v>12</v>
      </c>
      <c r="C19" s="1">
        <v>6</v>
      </c>
      <c r="D19" s="1"/>
      <c r="E19" s="1">
        <v>39</v>
      </c>
      <c r="F19" s="1">
        <v>34</v>
      </c>
      <c r="G19" s="1">
        <v>13</v>
      </c>
      <c r="H19" s="1">
        <v>16</v>
      </c>
      <c r="I19" s="1">
        <v>16</v>
      </c>
      <c r="J19" s="1">
        <v>56</v>
      </c>
      <c r="K19" s="1">
        <f t="shared" si="0"/>
        <v>24</v>
      </c>
    </row>
    <row r="20" spans="1:11" x14ac:dyDescent="0.25">
      <c r="A20">
        <v>1989</v>
      </c>
      <c r="B20" s="1">
        <v>16</v>
      </c>
      <c r="C20" s="1">
        <v>0</v>
      </c>
      <c r="D20" s="1"/>
      <c r="E20" s="1">
        <v>60</v>
      </c>
      <c r="F20" s="1">
        <v>18</v>
      </c>
      <c r="G20" s="1">
        <v>29</v>
      </c>
      <c r="H20" s="1">
        <v>22</v>
      </c>
      <c r="I20" s="1">
        <v>20</v>
      </c>
      <c r="J20" s="1">
        <v>78</v>
      </c>
      <c r="K20" s="1">
        <f t="shared" si="0"/>
        <v>30.375</v>
      </c>
    </row>
    <row r="21" spans="1:11" x14ac:dyDescent="0.25">
      <c r="A21">
        <v>1990</v>
      </c>
      <c r="B21" s="1">
        <v>28</v>
      </c>
      <c r="C21" s="1">
        <v>17</v>
      </c>
      <c r="D21" s="1"/>
      <c r="E21" s="1">
        <v>45</v>
      </c>
      <c r="F21" s="1">
        <v>34</v>
      </c>
      <c r="G21" s="1">
        <v>40</v>
      </c>
      <c r="H21" s="1">
        <v>27</v>
      </c>
      <c r="I21" s="1">
        <v>43</v>
      </c>
      <c r="J21" s="1">
        <v>56</v>
      </c>
      <c r="K21" s="1">
        <f t="shared" si="0"/>
        <v>36.25</v>
      </c>
    </row>
    <row r="22" spans="1:11" x14ac:dyDescent="0.25">
      <c r="A22">
        <v>1991</v>
      </c>
      <c r="B22" s="1">
        <v>29</v>
      </c>
      <c r="C22" s="1">
        <v>9</v>
      </c>
      <c r="D22" s="1"/>
      <c r="E22" s="1">
        <v>29</v>
      </c>
      <c r="F22" s="1">
        <v>38</v>
      </c>
      <c r="G22" s="1">
        <v>29</v>
      </c>
      <c r="H22" s="1">
        <v>31</v>
      </c>
      <c r="I22" s="1">
        <v>21</v>
      </c>
      <c r="J22" s="1">
        <v>42</v>
      </c>
      <c r="K22" s="1">
        <f t="shared" si="0"/>
        <v>28.5</v>
      </c>
    </row>
    <row r="23" spans="1:11" x14ac:dyDescent="0.25">
      <c r="A23">
        <v>1992</v>
      </c>
      <c r="B23" s="1">
        <v>37</v>
      </c>
      <c r="C23" s="1">
        <v>0</v>
      </c>
      <c r="D23" s="1"/>
      <c r="E23" s="1">
        <v>36</v>
      </c>
      <c r="F23" s="1">
        <v>16</v>
      </c>
      <c r="G23" s="1">
        <v>41</v>
      </c>
      <c r="H23" s="1">
        <v>22</v>
      </c>
      <c r="I23" s="1">
        <v>29</v>
      </c>
      <c r="J23" s="1">
        <v>45</v>
      </c>
      <c r="K23" s="1">
        <f t="shared" si="0"/>
        <v>28.25</v>
      </c>
    </row>
    <row r="24" spans="1:11" x14ac:dyDescent="0.25">
      <c r="A24">
        <v>1993</v>
      </c>
      <c r="B24" s="1">
        <v>45</v>
      </c>
      <c r="C24" s="1">
        <v>10</v>
      </c>
      <c r="D24" s="1"/>
      <c r="E24" s="1">
        <v>80</v>
      </c>
      <c r="F24" s="1">
        <v>29</v>
      </c>
      <c r="G24" s="1">
        <v>36</v>
      </c>
      <c r="H24" s="1">
        <v>21</v>
      </c>
      <c r="I24" s="1">
        <v>31</v>
      </c>
      <c r="J24" s="1">
        <v>37</v>
      </c>
      <c r="K24" s="1">
        <f t="shared" si="0"/>
        <v>36.125</v>
      </c>
    </row>
    <row r="25" spans="1:11" x14ac:dyDescent="0.25">
      <c r="A25">
        <v>1994</v>
      </c>
      <c r="B25" s="1">
        <v>63</v>
      </c>
      <c r="C25" s="1">
        <v>36</v>
      </c>
      <c r="D25" s="1">
        <v>54</v>
      </c>
      <c r="E25" s="1">
        <v>47</v>
      </c>
      <c r="F25" s="1">
        <v>80</v>
      </c>
      <c r="G25" s="1">
        <v>47</v>
      </c>
      <c r="H25" s="1">
        <v>51</v>
      </c>
      <c r="I25" s="1">
        <v>61</v>
      </c>
      <c r="J25" s="1">
        <v>76</v>
      </c>
      <c r="K25" s="1">
        <f t="shared" si="0"/>
        <v>57.222222222222221</v>
      </c>
    </row>
    <row r="26" spans="1:11" x14ac:dyDescent="0.25">
      <c r="A26">
        <v>1995</v>
      </c>
      <c r="B26" s="1">
        <v>25</v>
      </c>
      <c r="C26" s="1">
        <v>0</v>
      </c>
      <c r="D26" s="1">
        <v>0</v>
      </c>
      <c r="E26" s="1">
        <v>24</v>
      </c>
      <c r="F26" s="1">
        <v>53</v>
      </c>
      <c r="G26" s="1">
        <v>32</v>
      </c>
      <c r="H26" s="1">
        <v>18</v>
      </c>
      <c r="I26" s="1">
        <v>13</v>
      </c>
      <c r="J26" s="1">
        <v>48</v>
      </c>
      <c r="K26" s="1">
        <f t="shared" si="0"/>
        <v>23.666666666666668</v>
      </c>
    </row>
    <row r="27" spans="1:11" x14ac:dyDescent="0.25">
      <c r="A27">
        <v>1996</v>
      </c>
      <c r="B27" s="1">
        <v>0</v>
      </c>
      <c r="C27" s="1">
        <v>0</v>
      </c>
      <c r="D27" s="1">
        <v>0</v>
      </c>
      <c r="E27" s="1">
        <v>15</v>
      </c>
      <c r="F27" s="1">
        <v>25</v>
      </c>
      <c r="G27" s="1">
        <v>0</v>
      </c>
      <c r="H27" s="1">
        <v>14</v>
      </c>
      <c r="I27" s="1">
        <v>0</v>
      </c>
      <c r="J27" s="1">
        <v>29</v>
      </c>
      <c r="K27" s="1">
        <f t="shared" si="0"/>
        <v>9.2222222222222214</v>
      </c>
    </row>
    <row r="28" spans="1:11" x14ac:dyDescent="0.25">
      <c r="A28">
        <v>1997</v>
      </c>
      <c r="B28" s="1">
        <v>44</v>
      </c>
      <c r="C28" s="1">
        <v>14</v>
      </c>
      <c r="D28" s="1">
        <v>62</v>
      </c>
      <c r="E28" s="1">
        <v>75</v>
      </c>
      <c r="F28" s="1">
        <v>75</v>
      </c>
      <c r="G28" s="1">
        <v>39</v>
      </c>
      <c r="H28" s="1">
        <v>95</v>
      </c>
      <c r="I28" s="1">
        <v>58</v>
      </c>
      <c r="J28" s="1">
        <v>70</v>
      </c>
      <c r="K28" s="1">
        <f t="shared" si="0"/>
        <v>59.111111111111114</v>
      </c>
    </row>
    <row r="29" spans="1:11" x14ac:dyDescent="0.25">
      <c r="A29">
        <v>1998</v>
      </c>
      <c r="B29" s="1">
        <v>19</v>
      </c>
      <c r="C29" s="1">
        <v>14</v>
      </c>
      <c r="D29" s="1">
        <v>44</v>
      </c>
      <c r="E29" s="1">
        <v>45</v>
      </c>
      <c r="F29" s="1">
        <v>75</v>
      </c>
      <c r="G29" s="1">
        <v>32</v>
      </c>
      <c r="H29" s="1">
        <v>39</v>
      </c>
      <c r="I29" s="1">
        <v>22</v>
      </c>
      <c r="J29" s="1">
        <v>67</v>
      </c>
      <c r="K29" s="1">
        <f t="shared" si="0"/>
        <v>39.666666666666664</v>
      </c>
    </row>
    <row r="30" spans="1:11" x14ac:dyDescent="0.25">
      <c r="A30">
        <v>1999</v>
      </c>
      <c r="B30" s="1">
        <v>0</v>
      </c>
      <c r="C30" s="1">
        <v>8</v>
      </c>
      <c r="D30" s="1">
        <v>0</v>
      </c>
      <c r="E30" s="1">
        <v>2</v>
      </c>
      <c r="F30" s="1">
        <v>0</v>
      </c>
      <c r="G30" s="1">
        <v>5</v>
      </c>
      <c r="H30" s="1">
        <v>12</v>
      </c>
      <c r="I30" s="1">
        <v>0</v>
      </c>
      <c r="J30" s="1">
        <v>17</v>
      </c>
      <c r="K30" s="1">
        <f t="shared" si="0"/>
        <v>4.8888888888888893</v>
      </c>
    </row>
    <row r="31" spans="1:11" x14ac:dyDescent="0.25">
      <c r="A31">
        <v>2000</v>
      </c>
      <c r="B31" s="1">
        <v>12</v>
      </c>
      <c r="C31" s="1">
        <v>0</v>
      </c>
      <c r="D31" s="1">
        <v>0</v>
      </c>
      <c r="E31" s="1">
        <v>25</v>
      </c>
      <c r="F31" s="1">
        <v>11</v>
      </c>
      <c r="G31" s="1">
        <v>0</v>
      </c>
      <c r="H31" s="1">
        <v>15</v>
      </c>
      <c r="I31" s="1">
        <v>0</v>
      </c>
      <c r="J31" s="1">
        <v>0</v>
      </c>
      <c r="K31" s="1">
        <f t="shared" si="0"/>
        <v>7</v>
      </c>
    </row>
    <row r="32" spans="1:11" x14ac:dyDescent="0.25">
      <c r="A32">
        <v>2001</v>
      </c>
      <c r="B32" s="1">
        <v>21</v>
      </c>
      <c r="C32" s="1">
        <v>0</v>
      </c>
      <c r="D32" s="1">
        <v>18</v>
      </c>
      <c r="E32" s="1">
        <v>20</v>
      </c>
      <c r="F32" s="1">
        <v>21</v>
      </c>
      <c r="G32" s="1">
        <v>6</v>
      </c>
      <c r="H32" s="1">
        <v>16</v>
      </c>
      <c r="I32" s="1">
        <v>20</v>
      </c>
      <c r="J32" s="1">
        <v>39</v>
      </c>
      <c r="K32" s="1">
        <f t="shared" si="0"/>
        <v>17.888888888888889</v>
      </c>
    </row>
    <row r="33" spans="1:11" x14ac:dyDescent="0.25">
      <c r="A33">
        <v>2002</v>
      </c>
      <c r="B33" s="1">
        <v>10</v>
      </c>
      <c r="C33" s="1">
        <v>9</v>
      </c>
      <c r="D33" s="1">
        <v>0</v>
      </c>
      <c r="E33" s="1">
        <v>22</v>
      </c>
      <c r="F33" s="1">
        <v>17</v>
      </c>
      <c r="G33" s="1">
        <v>11</v>
      </c>
      <c r="H33" s="1">
        <v>63</v>
      </c>
      <c r="I33" s="1">
        <v>29</v>
      </c>
      <c r="J33" s="1">
        <v>42</v>
      </c>
      <c r="K33" s="1">
        <f t="shared" si="0"/>
        <v>22.555555555555557</v>
      </c>
    </row>
    <row r="34" spans="1:11" x14ac:dyDescent="0.25">
      <c r="A34">
        <v>2003</v>
      </c>
      <c r="B34" s="1">
        <v>22</v>
      </c>
      <c r="C34" s="1">
        <v>0</v>
      </c>
      <c r="D34" s="1">
        <v>0</v>
      </c>
      <c r="E34" s="1">
        <v>18</v>
      </c>
      <c r="F34" s="1">
        <v>48</v>
      </c>
      <c r="G34" s="1">
        <v>21</v>
      </c>
      <c r="H34" s="1">
        <v>11</v>
      </c>
      <c r="I34" s="1">
        <v>42</v>
      </c>
      <c r="J34" s="1">
        <v>43</v>
      </c>
      <c r="K34" s="1">
        <f t="shared" si="0"/>
        <v>22.777777777777779</v>
      </c>
    </row>
    <row r="35" spans="1:11" x14ac:dyDescent="0.25">
      <c r="A35">
        <v>2004</v>
      </c>
      <c r="B35" s="1">
        <v>15</v>
      </c>
      <c r="C35" s="1">
        <v>17</v>
      </c>
      <c r="D35" s="1">
        <v>17</v>
      </c>
      <c r="E35" s="1">
        <v>10</v>
      </c>
      <c r="F35" s="1">
        <v>9</v>
      </c>
      <c r="G35" s="1">
        <v>10</v>
      </c>
      <c r="H35" s="1">
        <v>29</v>
      </c>
      <c r="I35" s="1">
        <v>38</v>
      </c>
      <c r="J35" s="1">
        <v>10</v>
      </c>
      <c r="K35" s="1">
        <f t="shared" si="0"/>
        <v>17.222222222222221</v>
      </c>
    </row>
    <row r="36" spans="1:11" x14ac:dyDescent="0.25">
      <c r="A36">
        <v>2005</v>
      </c>
      <c r="B36" s="1">
        <v>0</v>
      </c>
      <c r="C36" s="1">
        <v>0</v>
      </c>
      <c r="D36" s="1">
        <v>0</v>
      </c>
      <c r="E36" s="1">
        <v>0</v>
      </c>
      <c r="F36" s="1">
        <v>31</v>
      </c>
      <c r="G36" s="1">
        <v>0</v>
      </c>
      <c r="H36" s="1">
        <v>95</v>
      </c>
      <c r="I36" s="1">
        <v>0</v>
      </c>
      <c r="J36" s="1">
        <v>51</v>
      </c>
      <c r="K36" s="1">
        <f t="shared" si="0"/>
        <v>19.666666666666668</v>
      </c>
    </row>
    <row r="37" spans="1:11" x14ac:dyDescent="0.25">
      <c r="A37">
        <v>2006</v>
      </c>
      <c r="B37" s="1">
        <v>75</v>
      </c>
      <c r="C37" s="1">
        <v>39</v>
      </c>
      <c r="D37" s="1">
        <v>70</v>
      </c>
      <c r="E37" s="1">
        <v>46</v>
      </c>
      <c r="F37" s="1">
        <v>72</v>
      </c>
      <c r="G37" s="1">
        <v>59</v>
      </c>
      <c r="H37" s="1">
        <v>39</v>
      </c>
      <c r="I37" s="1">
        <v>109</v>
      </c>
      <c r="J37" s="1">
        <v>64</v>
      </c>
      <c r="K37" s="1">
        <f t="shared" si="0"/>
        <v>63.666666666666664</v>
      </c>
    </row>
    <row r="38" spans="1:11" x14ac:dyDescent="0.25">
      <c r="A38">
        <v>2007</v>
      </c>
      <c r="B38" s="1">
        <v>10</v>
      </c>
      <c r="C38" s="1">
        <v>0</v>
      </c>
      <c r="D38" s="1">
        <v>6</v>
      </c>
      <c r="E38" s="1">
        <v>26</v>
      </c>
      <c r="F38" s="1">
        <v>0</v>
      </c>
      <c r="G38" s="1">
        <v>10</v>
      </c>
      <c r="H38" s="1">
        <v>10</v>
      </c>
      <c r="I38" s="1">
        <v>18</v>
      </c>
      <c r="J38" s="1">
        <v>34</v>
      </c>
      <c r="K38" s="1">
        <f t="shared" si="0"/>
        <v>12.666666666666666</v>
      </c>
    </row>
    <row r="39" spans="1:11" x14ac:dyDescent="0.25">
      <c r="A39">
        <v>2008</v>
      </c>
      <c r="B39" s="1">
        <v>52</v>
      </c>
      <c r="C39" s="1">
        <v>24</v>
      </c>
      <c r="D39" s="1">
        <v>36</v>
      </c>
      <c r="E39" s="1">
        <v>55</v>
      </c>
      <c r="F39" s="1">
        <v>46</v>
      </c>
      <c r="G39" s="1">
        <v>70</v>
      </c>
      <c r="H39" s="1">
        <v>42</v>
      </c>
      <c r="I39" s="1">
        <v>28</v>
      </c>
      <c r="J39" s="1">
        <v>41</v>
      </c>
      <c r="K39" s="1">
        <f t="shared" si="0"/>
        <v>43.777777777777779</v>
      </c>
    </row>
    <row r="40" spans="1:11" x14ac:dyDescent="0.25">
      <c r="A40">
        <v>2009</v>
      </c>
      <c r="B40" s="1">
        <v>34</v>
      </c>
      <c r="C40" s="1">
        <v>21</v>
      </c>
      <c r="D40" s="1">
        <v>34</v>
      </c>
      <c r="E40" s="1">
        <v>25</v>
      </c>
      <c r="F40" s="1">
        <v>44</v>
      </c>
      <c r="G40" s="1">
        <v>25</v>
      </c>
      <c r="H40" s="1">
        <v>4</v>
      </c>
      <c r="I40" s="1">
        <v>34</v>
      </c>
      <c r="J40" s="1">
        <v>40</v>
      </c>
      <c r="K40" s="1">
        <f t="shared" si="0"/>
        <v>29</v>
      </c>
    </row>
    <row r="41" spans="1:11" x14ac:dyDescent="0.25">
      <c r="A41">
        <v>2010</v>
      </c>
      <c r="B41" s="1">
        <v>0</v>
      </c>
      <c r="C41" s="1">
        <v>25</v>
      </c>
      <c r="D41" s="1">
        <v>9</v>
      </c>
      <c r="E41" s="1">
        <v>0</v>
      </c>
      <c r="F41" s="1">
        <v>14</v>
      </c>
      <c r="G41" s="1">
        <v>0</v>
      </c>
      <c r="H41" s="1">
        <v>25</v>
      </c>
      <c r="I41" s="1">
        <v>9</v>
      </c>
      <c r="J41" s="1">
        <v>14</v>
      </c>
      <c r="K41" s="1">
        <f t="shared" si="0"/>
        <v>10.666666666666666</v>
      </c>
    </row>
    <row r="42" spans="1:11" x14ac:dyDescent="0.25">
      <c r="A42">
        <v>2011</v>
      </c>
      <c r="B42" s="1">
        <v>19</v>
      </c>
      <c r="C42" s="1">
        <v>0</v>
      </c>
      <c r="D42" s="1">
        <v>27</v>
      </c>
      <c r="E42" s="1">
        <v>37</v>
      </c>
      <c r="F42" s="1">
        <v>45</v>
      </c>
      <c r="G42" s="1">
        <v>14</v>
      </c>
      <c r="H42" s="1">
        <v>0</v>
      </c>
      <c r="I42" s="1">
        <v>27</v>
      </c>
      <c r="J42" s="1">
        <v>38</v>
      </c>
      <c r="K42" s="1">
        <f t="shared" si="0"/>
        <v>23</v>
      </c>
    </row>
    <row r="43" spans="1:11" x14ac:dyDescent="0.25">
      <c r="A43">
        <v>2012</v>
      </c>
      <c r="B43" s="1">
        <v>49</v>
      </c>
      <c r="C43" s="1">
        <v>0</v>
      </c>
      <c r="D43" s="1">
        <v>37</v>
      </c>
      <c r="E43" s="1">
        <v>43</v>
      </c>
      <c r="F43" s="1">
        <v>87</v>
      </c>
      <c r="G43" s="1">
        <v>49</v>
      </c>
      <c r="H43" s="1">
        <v>34</v>
      </c>
      <c r="I43" s="1">
        <v>36</v>
      </c>
      <c r="J43" s="1">
        <v>38</v>
      </c>
      <c r="K43" s="1">
        <f t="shared" si="0"/>
        <v>41.444444444444443</v>
      </c>
    </row>
    <row r="44" spans="1:11" x14ac:dyDescent="0.25">
      <c r="A44">
        <v>2013</v>
      </c>
      <c r="B44" s="1">
        <v>32</v>
      </c>
      <c r="C44" s="1">
        <v>18</v>
      </c>
      <c r="D44" s="1">
        <v>0</v>
      </c>
      <c r="E44" s="1">
        <v>23</v>
      </c>
      <c r="F44" s="1">
        <v>29</v>
      </c>
      <c r="G44" s="1">
        <v>23</v>
      </c>
      <c r="H44" s="1">
        <v>12</v>
      </c>
      <c r="I44" s="1">
        <v>19</v>
      </c>
      <c r="J44" s="1">
        <v>31</v>
      </c>
      <c r="K44" s="1">
        <f t="shared" si="0"/>
        <v>20.777777777777779</v>
      </c>
    </row>
    <row r="45" spans="1:11" x14ac:dyDescent="0.25">
      <c r="A45">
        <v>2014</v>
      </c>
      <c r="B45" s="1">
        <v>0</v>
      </c>
      <c r="C45" s="1">
        <v>0</v>
      </c>
      <c r="D45" s="1">
        <v>56</v>
      </c>
      <c r="E45" s="1">
        <v>31</v>
      </c>
      <c r="F45" s="1">
        <v>15</v>
      </c>
      <c r="G45" s="1">
        <v>8</v>
      </c>
      <c r="H45" s="1">
        <v>20</v>
      </c>
      <c r="I45" s="1">
        <v>0</v>
      </c>
      <c r="J45" s="1">
        <v>32</v>
      </c>
      <c r="K45" s="1">
        <f t="shared" si="0"/>
        <v>18</v>
      </c>
    </row>
    <row r="46" spans="1:11" x14ac:dyDescent="0.25">
      <c r="A46">
        <v>2015</v>
      </c>
      <c r="B46" s="1">
        <v>16</v>
      </c>
      <c r="C46" s="1">
        <v>0</v>
      </c>
      <c r="D46" s="1">
        <v>48</v>
      </c>
      <c r="E46" s="1">
        <v>35</v>
      </c>
      <c r="F46" s="1">
        <v>17</v>
      </c>
      <c r="G46" s="1">
        <v>18</v>
      </c>
      <c r="H46" s="1">
        <v>9</v>
      </c>
      <c r="I46" s="1">
        <v>10</v>
      </c>
      <c r="J46" s="1">
        <v>37</v>
      </c>
      <c r="K46" s="1">
        <f t="shared" si="0"/>
        <v>21.111111111111111</v>
      </c>
    </row>
    <row r="47" spans="1:11" x14ac:dyDescent="0.25">
      <c r="A47">
        <v>2016</v>
      </c>
      <c r="B47" s="1">
        <v>46</v>
      </c>
      <c r="C47" s="1">
        <v>21</v>
      </c>
      <c r="D47" s="1">
        <v>77</v>
      </c>
      <c r="E47" s="1">
        <v>43</v>
      </c>
      <c r="F47" s="1">
        <v>57</v>
      </c>
      <c r="G47" s="1">
        <v>54</v>
      </c>
      <c r="H47" s="1">
        <v>34</v>
      </c>
      <c r="I47" s="1">
        <v>53</v>
      </c>
      <c r="J47" s="1">
        <v>44</v>
      </c>
      <c r="K47" s="1">
        <f t="shared" si="0"/>
        <v>47.666666666666664</v>
      </c>
    </row>
    <row r="48" spans="1:11" x14ac:dyDescent="0.25">
      <c r="A48">
        <v>2017</v>
      </c>
      <c r="B48" s="1">
        <v>23</v>
      </c>
      <c r="C48" s="1">
        <v>20</v>
      </c>
      <c r="D48" s="1">
        <v>76</v>
      </c>
      <c r="E48" s="1">
        <v>49</v>
      </c>
      <c r="F48" s="1">
        <v>41</v>
      </c>
      <c r="G48" s="1">
        <v>35</v>
      </c>
      <c r="H48" s="1">
        <v>50</v>
      </c>
      <c r="I48" s="1">
        <v>23</v>
      </c>
      <c r="J48" s="1">
        <v>61</v>
      </c>
      <c r="K48" s="1">
        <f t="shared" si="0"/>
        <v>42</v>
      </c>
    </row>
    <row r="49" spans="1:11" x14ac:dyDescent="0.25">
      <c r="A49">
        <v>2018</v>
      </c>
      <c r="B49" s="1">
        <v>21</v>
      </c>
      <c r="C49" s="1">
        <v>33</v>
      </c>
      <c r="D49" s="1">
        <v>39</v>
      </c>
      <c r="E49" s="1">
        <v>8</v>
      </c>
      <c r="F49" s="1">
        <v>36</v>
      </c>
      <c r="G49" s="1">
        <v>11</v>
      </c>
      <c r="H49" s="1">
        <v>17</v>
      </c>
      <c r="I49" s="1">
        <v>0</v>
      </c>
      <c r="J49" s="1">
        <v>10</v>
      </c>
      <c r="K49" s="1">
        <f t="shared" si="0"/>
        <v>19.444444444444443</v>
      </c>
    </row>
    <row r="50" spans="1:11" x14ac:dyDescent="0.25">
      <c r="A50">
        <v>2019</v>
      </c>
      <c r="B50" s="1">
        <v>0</v>
      </c>
      <c r="C50" s="1">
        <v>0</v>
      </c>
      <c r="D50" s="1">
        <v>47</v>
      </c>
      <c r="E50" s="1">
        <v>39</v>
      </c>
      <c r="F50" s="1">
        <v>0</v>
      </c>
      <c r="G50" s="1">
        <v>22</v>
      </c>
      <c r="H50" s="1">
        <v>53</v>
      </c>
      <c r="I50" s="1">
        <v>10</v>
      </c>
      <c r="J50" s="1">
        <v>25</v>
      </c>
      <c r="K50" s="1">
        <f t="shared" si="0"/>
        <v>21.777777777777779</v>
      </c>
    </row>
    <row r="51" spans="1:11" x14ac:dyDescent="0.25">
      <c r="A51">
        <v>2020</v>
      </c>
      <c r="B51" s="1">
        <v>16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19</v>
      </c>
      <c r="J51" s="1">
        <v>19</v>
      </c>
      <c r="K51" s="1">
        <f t="shared" si="0"/>
        <v>6</v>
      </c>
    </row>
    <row r="52" spans="1:11" x14ac:dyDescent="0.25">
      <c r="A52">
        <v>2021</v>
      </c>
      <c r="B52" s="1">
        <v>21</v>
      </c>
      <c r="C52" s="1">
        <v>11</v>
      </c>
      <c r="D52" s="1">
        <v>30</v>
      </c>
      <c r="E52" s="1">
        <v>32</v>
      </c>
      <c r="F52" s="1">
        <v>31</v>
      </c>
      <c r="G52" s="1">
        <v>35</v>
      </c>
      <c r="H52" s="1">
        <v>13</v>
      </c>
      <c r="I52" s="1">
        <v>11</v>
      </c>
      <c r="J52" s="1">
        <v>44</v>
      </c>
      <c r="K52" s="1">
        <f t="shared" si="0"/>
        <v>25.333333333333332</v>
      </c>
    </row>
    <row r="53" spans="1:11" x14ac:dyDescent="0.25">
      <c r="A53">
        <v>2022</v>
      </c>
      <c r="B53" s="1">
        <v>11</v>
      </c>
      <c r="C53" s="1">
        <v>12</v>
      </c>
      <c r="D53" s="1">
        <v>33</v>
      </c>
      <c r="E53" s="1">
        <v>61</v>
      </c>
      <c r="F53" s="1">
        <v>15</v>
      </c>
      <c r="G53" s="1">
        <v>11</v>
      </c>
      <c r="H53" s="1">
        <v>19</v>
      </c>
      <c r="I53" s="1">
        <v>12</v>
      </c>
      <c r="J53" s="1">
        <v>28</v>
      </c>
      <c r="K53" s="1">
        <f t="shared" si="0"/>
        <v>22.444444444444443</v>
      </c>
    </row>
    <row r="54" spans="1:11" x14ac:dyDescent="0.25">
      <c r="A54">
        <v>2023</v>
      </c>
      <c r="B54" s="1">
        <v>47</v>
      </c>
      <c r="C54" s="1">
        <v>22</v>
      </c>
      <c r="D54" s="1">
        <v>68</v>
      </c>
      <c r="E54" s="1">
        <v>44</v>
      </c>
      <c r="F54" s="1">
        <v>42</v>
      </c>
      <c r="G54" s="1">
        <v>44</v>
      </c>
      <c r="H54" s="1">
        <v>0</v>
      </c>
      <c r="I54" s="1">
        <v>25</v>
      </c>
      <c r="J54" s="1">
        <v>32</v>
      </c>
      <c r="K54" s="1">
        <f t="shared" si="0"/>
        <v>36</v>
      </c>
    </row>
    <row r="55" spans="1:11" x14ac:dyDescent="0.25">
      <c r="A55">
        <v>2024</v>
      </c>
      <c r="B55" s="1">
        <v>13</v>
      </c>
      <c r="C55" s="1">
        <v>7</v>
      </c>
      <c r="D55" s="1">
        <v>14</v>
      </c>
      <c r="E55" s="1">
        <v>20</v>
      </c>
      <c r="F55" s="1">
        <v>16</v>
      </c>
      <c r="G55" s="1">
        <v>16</v>
      </c>
      <c r="H55" s="1">
        <v>0</v>
      </c>
      <c r="I55" s="1">
        <v>7</v>
      </c>
      <c r="J55" s="1">
        <v>26</v>
      </c>
      <c r="K55" s="1">
        <f t="shared" si="0"/>
        <v>13.222222222222221</v>
      </c>
    </row>
    <row r="56" spans="1:11" x14ac:dyDescent="0.25">
      <c r="A56">
        <v>2025</v>
      </c>
      <c r="B56" s="1">
        <v>21</v>
      </c>
      <c r="C56" s="1">
        <v>0</v>
      </c>
      <c r="D56" s="1">
        <v>16</v>
      </c>
      <c r="E56" s="1">
        <v>38</v>
      </c>
      <c r="F56" s="1">
        <v>59</v>
      </c>
      <c r="G56" s="1">
        <v>0</v>
      </c>
      <c r="H56" s="1">
        <v>12</v>
      </c>
      <c r="I56" s="1">
        <v>0</v>
      </c>
      <c r="J56" s="1">
        <v>76</v>
      </c>
      <c r="K56" s="1">
        <f t="shared" si="0"/>
        <v>24.666666666666668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workbookViewId="0">
      <selection activeCell="M1" sqref="M1"/>
    </sheetView>
  </sheetViews>
  <sheetFormatPr defaultRowHeight="15" x14ac:dyDescent="0.25"/>
  <sheetData>
    <row r="1" spans="1:15" ht="75" x14ac:dyDescent="0.25">
      <c r="B1" t="s">
        <v>70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  <c r="H1" t="s">
        <v>76</v>
      </c>
      <c r="I1" t="s">
        <v>77</v>
      </c>
      <c r="J1" t="s">
        <v>78</v>
      </c>
      <c r="K1" t="s">
        <v>79</v>
      </c>
      <c r="L1" t="s">
        <v>80</v>
      </c>
      <c r="M1" s="3" t="s">
        <v>213</v>
      </c>
    </row>
    <row r="2" spans="1:15" x14ac:dyDescent="0.25">
      <c r="A2">
        <v>1971</v>
      </c>
      <c r="B2" s="1">
        <v>56</v>
      </c>
      <c r="C2" s="1">
        <v>73</v>
      </c>
      <c r="D2" s="1">
        <v>60</v>
      </c>
      <c r="E2" s="1">
        <v>64</v>
      </c>
      <c r="F2" s="1">
        <v>87</v>
      </c>
      <c r="G2" s="1">
        <v>0</v>
      </c>
      <c r="H2" s="1">
        <v>225</v>
      </c>
      <c r="I2" s="1">
        <v>0</v>
      </c>
      <c r="J2" s="1">
        <v>0</v>
      </c>
      <c r="K2" s="1">
        <v>71</v>
      </c>
      <c r="L2" s="1">
        <v>162</v>
      </c>
      <c r="M2" s="1">
        <f>AVERAGE(B2:L2)</f>
        <v>72.545454545454547</v>
      </c>
      <c r="N2" s="1"/>
      <c r="O2" s="1"/>
    </row>
    <row r="3" spans="1:15" x14ac:dyDescent="0.25">
      <c r="A3">
        <v>1972</v>
      </c>
      <c r="B3" s="1">
        <v>46</v>
      </c>
      <c r="C3" s="1">
        <v>47</v>
      </c>
      <c r="D3" s="1">
        <v>36</v>
      </c>
      <c r="E3" s="1">
        <v>70</v>
      </c>
      <c r="F3" s="1">
        <v>68</v>
      </c>
      <c r="G3" s="1">
        <v>0</v>
      </c>
      <c r="H3" s="1">
        <v>205</v>
      </c>
      <c r="I3" s="1">
        <v>0</v>
      </c>
      <c r="J3" s="1">
        <v>0</v>
      </c>
      <c r="K3" s="1">
        <v>58</v>
      </c>
      <c r="L3" s="1">
        <v>81</v>
      </c>
      <c r="M3" s="1">
        <f t="shared" ref="M3:M56" si="0">AVERAGE(B3:L3)</f>
        <v>55.545454545454547</v>
      </c>
      <c r="N3" s="1"/>
      <c r="O3" s="1"/>
    </row>
    <row r="4" spans="1:15" x14ac:dyDescent="0.25">
      <c r="A4">
        <v>1973</v>
      </c>
      <c r="B4" s="1">
        <v>56</v>
      </c>
      <c r="C4" s="1">
        <v>43</v>
      </c>
      <c r="D4" s="1">
        <v>72</v>
      </c>
      <c r="E4" s="1">
        <v>42</v>
      </c>
      <c r="F4" s="1">
        <v>53</v>
      </c>
      <c r="G4" s="1">
        <v>0</v>
      </c>
      <c r="H4" s="1">
        <v>139</v>
      </c>
      <c r="I4" s="1">
        <v>72</v>
      </c>
      <c r="J4" s="1">
        <v>0</v>
      </c>
      <c r="K4" s="1">
        <v>74</v>
      </c>
      <c r="L4" s="1">
        <v>117</v>
      </c>
      <c r="M4" s="1">
        <f t="shared" si="0"/>
        <v>60.727272727272727</v>
      </c>
      <c r="N4" s="1"/>
      <c r="O4" s="1"/>
    </row>
    <row r="5" spans="1:15" x14ac:dyDescent="0.25">
      <c r="A5">
        <v>1974</v>
      </c>
      <c r="B5" s="1">
        <v>37</v>
      </c>
      <c r="C5" s="1">
        <v>57</v>
      </c>
      <c r="D5" s="1">
        <v>36</v>
      </c>
      <c r="E5" s="1">
        <v>40</v>
      </c>
      <c r="F5" s="1">
        <v>45</v>
      </c>
      <c r="G5" s="1">
        <v>0</v>
      </c>
      <c r="H5" s="1">
        <v>106</v>
      </c>
      <c r="I5" s="1">
        <v>60</v>
      </c>
      <c r="J5" s="1">
        <v>0</v>
      </c>
      <c r="K5" s="1">
        <v>74</v>
      </c>
      <c r="L5" s="1">
        <v>108</v>
      </c>
      <c r="M5" s="1">
        <f t="shared" si="0"/>
        <v>51.18181818181818</v>
      </c>
      <c r="N5" s="1"/>
      <c r="O5" s="1"/>
    </row>
    <row r="6" spans="1:15" x14ac:dyDescent="0.25">
      <c r="A6">
        <v>1975</v>
      </c>
      <c r="B6" s="1">
        <v>34</v>
      </c>
      <c r="C6" s="1">
        <v>33</v>
      </c>
      <c r="D6" s="1">
        <v>22</v>
      </c>
      <c r="E6" s="1">
        <v>72</v>
      </c>
      <c r="F6" s="1">
        <v>70</v>
      </c>
      <c r="G6" s="1">
        <v>0</v>
      </c>
      <c r="H6" s="1">
        <v>150</v>
      </c>
      <c r="I6" s="1">
        <v>80</v>
      </c>
      <c r="J6" s="1">
        <v>0</v>
      </c>
      <c r="K6" s="1">
        <v>92</v>
      </c>
      <c r="L6" s="1">
        <v>98</v>
      </c>
      <c r="M6" s="1">
        <f t="shared" si="0"/>
        <v>59.18181818181818</v>
      </c>
      <c r="N6" s="1"/>
      <c r="O6" s="1"/>
    </row>
    <row r="7" spans="1:15" x14ac:dyDescent="0.25">
      <c r="A7">
        <v>1976</v>
      </c>
      <c r="B7" s="1">
        <v>40</v>
      </c>
      <c r="C7" s="1">
        <v>46</v>
      </c>
      <c r="D7" s="1">
        <v>15</v>
      </c>
      <c r="E7" s="1">
        <v>50</v>
      </c>
      <c r="F7" s="1">
        <v>122</v>
      </c>
      <c r="G7" s="1">
        <v>0</v>
      </c>
      <c r="H7" s="1">
        <v>118</v>
      </c>
      <c r="I7" s="1">
        <v>170</v>
      </c>
      <c r="J7" s="1">
        <v>0</v>
      </c>
      <c r="K7" s="1">
        <v>139</v>
      </c>
      <c r="L7" s="1">
        <v>122</v>
      </c>
      <c r="M7" s="1">
        <f t="shared" si="0"/>
        <v>74.727272727272734</v>
      </c>
      <c r="N7" s="1"/>
      <c r="O7" s="1"/>
    </row>
    <row r="8" spans="1:15" x14ac:dyDescent="0.25">
      <c r="A8">
        <v>1977</v>
      </c>
      <c r="B8" s="1">
        <v>44</v>
      </c>
      <c r="C8" s="1">
        <v>30</v>
      </c>
      <c r="D8" s="1">
        <v>58</v>
      </c>
      <c r="E8" s="1">
        <v>58</v>
      </c>
      <c r="F8" s="1">
        <v>79</v>
      </c>
      <c r="G8" s="1">
        <v>0</v>
      </c>
      <c r="H8" s="1">
        <v>211</v>
      </c>
      <c r="I8" s="1">
        <v>150</v>
      </c>
      <c r="J8" s="1">
        <v>0</v>
      </c>
      <c r="K8" s="1">
        <v>92</v>
      </c>
      <c r="L8" s="1">
        <v>208</v>
      </c>
      <c r="M8" s="1">
        <f t="shared" si="0"/>
        <v>84.545454545454547</v>
      </c>
      <c r="N8" s="1"/>
      <c r="O8" s="1"/>
    </row>
    <row r="9" spans="1:15" x14ac:dyDescent="0.25">
      <c r="A9">
        <v>1978</v>
      </c>
      <c r="B9" s="1">
        <v>47.51</v>
      </c>
      <c r="C9" s="1">
        <v>48.3</v>
      </c>
      <c r="D9" s="1">
        <v>57.2</v>
      </c>
      <c r="E9" s="1">
        <v>54.6</v>
      </c>
      <c r="F9" s="1">
        <v>63.8</v>
      </c>
      <c r="G9" s="1">
        <v>0</v>
      </c>
      <c r="H9" s="1">
        <v>145.6</v>
      </c>
      <c r="I9" s="1">
        <v>70.400000000000006</v>
      </c>
      <c r="J9" s="1">
        <v>38.4</v>
      </c>
      <c r="K9" s="1">
        <v>72</v>
      </c>
      <c r="L9" s="1">
        <v>130</v>
      </c>
      <c r="M9" s="1">
        <f t="shared" si="0"/>
        <v>66.164545454545447</v>
      </c>
      <c r="N9" s="1"/>
      <c r="O9" s="1"/>
    </row>
    <row r="10" spans="1:15" x14ac:dyDescent="0.25">
      <c r="A10">
        <v>1979</v>
      </c>
      <c r="B10" s="1">
        <v>70.2</v>
      </c>
      <c r="C10" s="1">
        <v>72.95</v>
      </c>
      <c r="D10" s="1">
        <v>93</v>
      </c>
      <c r="E10" s="1">
        <v>101.5</v>
      </c>
      <c r="F10" s="1">
        <v>92.4</v>
      </c>
      <c r="G10" s="1">
        <v>0</v>
      </c>
      <c r="H10" s="1">
        <v>125</v>
      </c>
      <c r="I10" s="1">
        <v>157.5</v>
      </c>
      <c r="J10" s="1">
        <v>62.4</v>
      </c>
      <c r="K10" s="1">
        <v>118.8</v>
      </c>
      <c r="L10" s="1">
        <v>156</v>
      </c>
      <c r="M10" s="1">
        <f t="shared" si="0"/>
        <v>95.431818181818187</v>
      </c>
      <c r="N10" s="1"/>
      <c r="O10" s="1"/>
    </row>
    <row r="11" spans="1:15" x14ac:dyDescent="0.25">
      <c r="A11">
        <v>1980</v>
      </c>
      <c r="B11" s="1">
        <v>55.01</v>
      </c>
      <c r="C11" s="1">
        <v>64.8</v>
      </c>
      <c r="D11" s="1">
        <v>36.4</v>
      </c>
      <c r="E11" s="1">
        <v>32.299999999999997</v>
      </c>
      <c r="F11" s="1">
        <v>84</v>
      </c>
      <c r="G11" s="1">
        <v>0</v>
      </c>
      <c r="H11" s="1">
        <v>100</v>
      </c>
      <c r="I11" s="1">
        <v>59.5</v>
      </c>
      <c r="J11" s="1">
        <v>36.4</v>
      </c>
      <c r="K11" s="1">
        <v>58</v>
      </c>
      <c r="L11" s="1">
        <v>98.6</v>
      </c>
      <c r="M11" s="1">
        <f t="shared" si="0"/>
        <v>56.81909090909091</v>
      </c>
      <c r="N11" s="1"/>
      <c r="O11" s="1"/>
    </row>
    <row r="12" spans="1:15" x14ac:dyDescent="0.25">
      <c r="A12">
        <v>1981</v>
      </c>
      <c r="B12" s="1">
        <v>60.81</v>
      </c>
      <c r="C12" s="1">
        <v>34.229999999999997</v>
      </c>
      <c r="D12" s="1">
        <v>24.7</v>
      </c>
      <c r="E12" s="1">
        <v>57.2</v>
      </c>
      <c r="F12" s="1">
        <v>105.6</v>
      </c>
      <c r="G12" s="1">
        <v>0</v>
      </c>
      <c r="H12" s="1">
        <v>110.4</v>
      </c>
      <c r="I12" s="1">
        <v>109.2</v>
      </c>
      <c r="J12" s="1">
        <v>26.1</v>
      </c>
      <c r="K12" s="1">
        <v>66.599999999999994</v>
      </c>
      <c r="L12" s="1">
        <v>72</v>
      </c>
      <c r="M12" s="1">
        <f t="shared" si="0"/>
        <v>60.621818181818178</v>
      </c>
      <c r="N12" s="1"/>
      <c r="O12" s="1"/>
    </row>
    <row r="13" spans="1:15" x14ac:dyDescent="0.25">
      <c r="A13">
        <v>1982</v>
      </c>
      <c r="B13" s="1">
        <v>30.8</v>
      </c>
      <c r="C13" s="1">
        <v>31</v>
      </c>
      <c r="D13" s="1">
        <v>35.200000000000003</v>
      </c>
      <c r="E13" s="1">
        <v>37.799999999999997</v>
      </c>
      <c r="F13" s="1">
        <v>110.4</v>
      </c>
      <c r="G13" s="1">
        <v>0</v>
      </c>
      <c r="H13" s="1">
        <v>88.4</v>
      </c>
      <c r="I13" s="1">
        <v>50.4</v>
      </c>
      <c r="J13" s="1">
        <v>21</v>
      </c>
      <c r="K13" s="1">
        <v>51.3</v>
      </c>
      <c r="L13" s="1">
        <v>96</v>
      </c>
      <c r="M13" s="1">
        <f t="shared" si="0"/>
        <v>50.209090909090904</v>
      </c>
      <c r="N13" s="1"/>
      <c r="O13" s="1"/>
    </row>
    <row r="14" spans="1:15" x14ac:dyDescent="0.25">
      <c r="A14">
        <v>1983</v>
      </c>
      <c r="B14" s="1">
        <v>52</v>
      </c>
      <c r="C14" s="1">
        <v>77.5</v>
      </c>
      <c r="D14" s="1">
        <v>68.2</v>
      </c>
      <c r="E14" s="1">
        <v>45.9</v>
      </c>
      <c r="F14" s="1">
        <v>59.8</v>
      </c>
      <c r="G14" s="1">
        <v>372.3</v>
      </c>
      <c r="H14" s="1">
        <v>92.4</v>
      </c>
      <c r="I14" s="1">
        <v>46.4</v>
      </c>
      <c r="J14" s="1">
        <v>40.5</v>
      </c>
      <c r="K14" s="1">
        <v>89.9</v>
      </c>
      <c r="L14" s="1">
        <v>79.2</v>
      </c>
      <c r="M14" s="1">
        <f t="shared" si="0"/>
        <v>93.1</v>
      </c>
      <c r="N14" s="1"/>
      <c r="O14" s="1"/>
    </row>
    <row r="15" spans="1:15" x14ac:dyDescent="0.25">
      <c r="A15">
        <v>1984</v>
      </c>
      <c r="B15" s="1">
        <v>40.799999999999997</v>
      </c>
      <c r="C15" s="1">
        <v>51.1</v>
      </c>
      <c r="D15" s="1">
        <v>27.2</v>
      </c>
      <c r="E15" s="1">
        <v>84.7</v>
      </c>
      <c r="F15" s="1">
        <v>60.9</v>
      </c>
      <c r="G15" s="1">
        <v>183.6</v>
      </c>
      <c r="H15" s="1">
        <v>82.8</v>
      </c>
      <c r="I15" s="1">
        <v>83.7</v>
      </c>
      <c r="J15" s="1">
        <v>37.4</v>
      </c>
      <c r="K15" s="1">
        <v>54</v>
      </c>
      <c r="L15" s="1">
        <v>59.8</v>
      </c>
      <c r="M15" s="1">
        <f t="shared" si="0"/>
        <v>69.636363636363626</v>
      </c>
      <c r="N15" s="1"/>
      <c r="O15" s="1"/>
    </row>
    <row r="16" spans="1:15" x14ac:dyDescent="0.25">
      <c r="A16">
        <v>1985</v>
      </c>
      <c r="B16" s="1">
        <v>52.8</v>
      </c>
      <c r="C16" s="1">
        <v>72.5</v>
      </c>
      <c r="D16" s="1">
        <v>34.1</v>
      </c>
      <c r="E16" s="1">
        <v>48</v>
      </c>
      <c r="F16" s="1">
        <v>112.2</v>
      </c>
      <c r="G16" s="1">
        <v>339.7</v>
      </c>
      <c r="H16" s="1">
        <v>140.30000000000001</v>
      </c>
      <c r="I16" s="1">
        <v>195.2</v>
      </c>
      <c r="J16" s="1">
        <v>37.700000000000003</v>
      </c>
      <c r="K16" s="1">
        <v>42.5</v>
      </c>
      <c r="L16" s="1">
        <v>111.8</v>
      </c>
      <c r="M16" s="1">
        <f t="shared" si="0"/>
        <v>107.89090909090909</v>
      </c>
      <c r="N16" s="1"/>
      <c r="O16" s="1"/>
    </row>
    <row r="17" spans="1:15" x14ac:dyDescent="0.25">
      <c r="A17">
        <v>1986</v>
      </c>
      <c r="B17" s="1">
        <v>71</v>
      </c>
      <c r="C17" s="1">
        <v>96</v>
      </c>
      <c r="D17" s="1">
        <v>46</v>
      </c>
      <c r="E17" s="1">
        <v>46</v>
      </c>
      <c r="F17" s="1">
        <v>105</v>
      </c>
      <c r="G17" s="1">
        <v>233</v>
      </c>
      <c r="H17" s="1">
        <v>151</v>
      </c>
      <c r="I17" s="1">
        <v>130</v>
      </c>
      <c r="J17" s="1">
        <v>36</v>
      </c>
      <c r="K17" s="1">
        <v>87</v>
      </c>
      <c r="L17" s="1">
        <v>157</v>
      </c>
      <c r="M17" s="1">
        <f t="shared" si="0"/>
        <v>105.27272727272727</v>
      </c>
      <c r="N17" s="1"/>
      <c r="O17" s="1"/>
    </row>
    <row r="18" spans="1:15" x14ac:dyDescent="0.25">
      <c r="A18">
        <v>1987</v>
      </c>
      <c r="B18" s="1">
        <v>49</v>
      </c>
      <c r="C18" s="1">
        <v>64</v>
      </c>
      <c r="D18" s="1">
        <v>39</v>
      </c>
      <c r="E18" s="1">
        <v>63</v>
      </c>
      <c r="F18" s="1">
        <v>126</v>
      </c>
      <c r="G18" s="1">
        <v>215</v>
      </c>
      <c r="H18" s="1">
        <v>151</v>
      </c>
      <c r="I18" s="1">
        <v>213</v>
      </c>
      <c r="J18" s="1">
        <v>55</v>
      </c>
      <c r="K18" s="1">
        <v>64</v>
      </c>
      <c r="L18" s="1">
        <v>95</v>
      </c>
      <c r="M18" s="1">
        <f t="shared" si="0"/>
        <v>103.09090909090909</v>
      </c>
      <c r="N18" s="1"/>
      <c r="O18" s="1"/>
    </row>
    <row r="19" spans="1:15" x14ac:dyDescent="0.25">
      <c r="A19">
        <v>1988</v>
      </c>
      <c r="B19" s="1">
        <v>61</v>
      </c>
      <c r="C19" s="1">
        <v>84</v>
      </c>
      <c r="D19" s="1">
        <v>59</v>
      </c>
      <c r="E19" s="1">
        <v>70</v>
      </c>
      <c r="F19" s="1">
        <v>149</v>
      </c>
      <c r="G19" s="1">
        <v>372</v>
      </c>
      <c r="H19" s="1">
        <v>148</v>
      </c>
      <c r="I19" s="1">
        <v>308</v>
      </c>
      <c r="J19" s="1">
        <v>41</v>
      </c>
      <c r="K19" s="1">
        <v>78</v>
      </c>
      <c r="L19" s="1">
        <v>142</v>
      </c>
      <c r="M19" s="1">
        <f t="shared" si="0"/>
        <v>137.45454545454547</v>
      </c>
      <c r="N19" s="1"/>
      <c r="O19" s="1"/>
    </row>
    <row r="20" spans="1:15" x14ac:dyDescent="0.25">
      <c r="A20">
        <v>1989</v>
      </c>
      <c r="B20" s="1">
        <v>49</v>
      </c>
      <c r="C20" s="1">
        <v>52</v>
      </c>
      <c r="D20" s="1">
        <v>14</v>
      </c>
      <c r="E20" s="1">
        <v>34</v>
      </c>
      <c r="F20" s="1">
        <v>125</v>
      </c>
      <c r="G20" s="1">
        <v>194</v>
      </c>
      <c r="H20" s="1">
        <v>110</v>
      </c>
      <c r="I20" s="1">
        <v>167</v>
      </c>
      <c r="J20" s="1">
        <v>30</v>
      </c>
      <c r="K20" s="1">
        <v>46</v>
      </c>
      <c r="L20" s="1">
        <v>115</v>
      </c>
      <c r="M20" s="1">
        <f t="shared" si="0"/>
        <v>85.090909090909093</v>
      </c>
      <c r="N20" s="1"/>
      <c r="O20" s="1"/>
    </row>
    <row r="21" spans="1:15" x14ac:dyDescent="0.25">
      <c r="A21">
        <v>1990</v>
      </c>
      <c r="B21" s="1">
        <v>42</v>
      </c>
      <c r="C21" s="1">
        <v>56</v>
      </c>
      <c r="D21" s="1">
        <v>40</v>
      </c>
      <c r="E21" s="1">
        <v>64</v>
      </c>
      <c r="F21" s="1">
        <v>149</v>
      </c>
      <c r="G21" s="1">
        <v>247</v>
      </c>
      <c r="H21" s="1">
        <v>200</v>
      </c>
      <c r="I21" s="1">
        <v>84</v>
      </c>
      <c r="J21" s="1">
        <v>42</v>
      </c>
      <c r="K21" s="1">
        <v>78</v>
      </c>
      <c r="L21" s="1">
        <v>183</v>
      </c>
      <c r="M21" s="1">
        <f t="shared" si="0"/>
        <v>107.72727272727273</v>
      </c>
      <c r="N21" s="1"/>
      <c r="O21" s="1"/>
    </row>
    <row r="22" spans="1:15" x14ac:dyDescent="0.25">
      <c r="A22">
        <v>1991</v>
      </c>
      <c r="B22" s="1">
        <v>44</v>
      </c>
      <c r="C22" s="1">
        <v>81</v>
      </c>
      <c r="D22" s="1">
        <v>53</v>
      </c>
      <c r="E22" s="1">
        <v>46</v>
      </c>
      <c r="F22" s="1">
        <v>112</v>
      </c>
      <c r="G22" s="1">
        <v>307</v>
      </c>
      <c r="H22" s="1">
        <v>143</v>
      </c>
      <c r="I22" s="1">
        <v>159</v>
      </c>
      <c r="J22" s="1">
        <v>52</v>
      </c>
      <c r="K22" s="1">
        <v>67</v>
      </c>
      <c r="L22" s="1">
        <v>186</v>
      </c>
      <c r="M22" s="1">
        <f t="shared" si="0"/>
        <v>113.63636363636364</v>
      </c>
      <c r="N22" s="1"/>
      <c r="O22" s="1"/>
    </row>
    <row r="23" spans="1:15" x14ac:dyDescent="0.25">
      <c r="A23">
        <v>1992</v>
      </c>
      <c r="B23" s="1">
        <v>62</v>
      </c>
      <c r="C23" s="1">
        <v>62</v>
      </c>
      <c r="D23" s="1">
        <v>51</v>
      </c>
      <c r="E23" s="1">
        <v>63</v>
      </c>
      <c r="F23" s="1">
        <v>144</v>
      </c>
      <c r="G23" s="1">
        <v>276</v>
      </c>
      <c r="H23" s="1">
        <v>156</v>
      </c>
      <c r="I23" s="1">
        <v>174</v>
      </c>
      <c r="J23" s="1">
        <v>57</v>
      </c>
      <c r="K23" s="1">
        <v>69</v>
      </c>
      <c r="L23" s="1">
        <v>180</v>
      </c>
      <c r="M23" s="1">
        <f t="shared" si="0"/>
        <v>117.63636363636364</v>
      </c>
      <c r="N23" s="1"/>
      <c r="O23" s="1"/>
    </row>
    <row r="24" spans="1:15" x14ac:dyDescent="0.25">
      <c r="A24">
        <v>1993</v>
      </c>
      <c r="B24" s="1">
        <v>30</v>
      </c>
      <c r="C24" s="1">
        <v>54</v>
      </c>
      <c r="D24" s="1">
        <v>42</v>
      </c>
      <c r="E24" s="1">
        <v>66</v>
      </c>
      <c r="F24" s="1">
        <v>90</v>
      </c>
      <c r="G24" s="1">
        <v>250</v>
      </c>
      <c r="H24" s="1">
        <v>154</v>
      </c>
      <c r="I24" s="1">
        <v>324</v>
      </c>
      <c r="J24" s="1">
        <v>26</v>
      </c>
      <c r="K24" s="1">
        <v>74</v>
      </c>
      <c r="L24" s="1">
        <v>155</v>
      </c>
      <c r="M24" s="1">
        <f t="shared" si="0"/>
        <v>115</v>
      </c>
      <c r="N24" s="1"/>
      <c r="O24" s="1"/>
    </row>
    <row r="25" spans="1:15" x14ac:dyDescent="0.25">
      <c r="A25">
        <v>1994</v>
      </c>
      <c r="B25" s="1">
        <v>65</v>
      </c>
      <c r="C25" s="1">
        <v>92</v>
      </c>
      <c r="D25" s="1">
        <v>50</v>
      </c>
      <c r="E25" s="1">
        <v>97</v>
      </c>
      <c r="F25" s="1">
        <v>188</v>
      </c>
      <c r="G25" s="1">
        <v>270</v>
      </c>
      <c r="H25" s="1">
        <v>157</v>
      </c>
      <c r="I25" s="1">
        <v>113</v>
      </c>
      <c r="J25" s="1">
        <v>44</v>
      </c>
      <c r="K25" s="1">
        <v>92</v>
      </c>
      <c r="L25" s="1">
        <v>100</v>
      </c>
      <c r="M25" s="1">
        <f t="shared" si="0"/>
        <v>115.27272727272727</v>
      </c>
      <c r="N25" s="1"/>
      <c r="O25" s="1"/>
    </row>
    <row r="26" spans="1:15" x14ac:dyDescent="0.25">
      <c r="A26">
        <v>1995</v>
      </c>
      <c r="B26" s="1">
        <v>27</v>
      </c>
      <c r="C26" s="1">
        <v>67</v>
      </c>
      <c r="D26" s="1">
        <v>48</v>
      </c>
      <c r="E26" s="1">
        <v>40</v>
      </c>
      <c r="F26" s="1">
        <v>90</v>
      </c>
      <c r="G26" s="1">
        <v>228</v>
      </c>
      <c r="H26" s="1">
        <v>58</v>
      </c>
      <c r="I26" s="1">
        <v>28</v>
      </c>
      <c r="J26" s="1">
        <v>18</v>
      </c>
      <c r="K26" s="1">
        <v>53</v>
      </c>
      <c r="L26" s="1">
        <v>100</v>
      </c>
      <c r="M26" s="1">
        <f t="shared" si="0"/>
        <v>68.818181818181813</v>
      </c>
      <c r="N26" s="1"/>
      <c r="O26" s="1"/>
    </row>
    <row r="27" spans="1:15" x14ac:dyDescent="0.25">
      <c r="A27">
        <v>1996</v>
      </c>
      <c r="B27" s="1">
        <v>29</v>
      </c>
      <c r="C27" s="1">
        <v>51</v>
      </c>
      <c r="D27" s="1">
        <v>15</v>
      </c>
      <c r="E27" s="1">
        <v>49</v>
      </c>
      <c r="F27" s="1">
        <v>146</v>
      </c>
      <c r="G27" s="1">
        <v>217</v>
      </c>
      <c r="H27" s="1">
        <v>120</v>
      </c>
      <c r="I27" s="1">
        <v>145</v>
      </c>
      <c r="J27" s="1">
        <v>24</v>
      </c>
      <c r="K27" s="1">
        <v>65</v>
      </c>
      <c r="L27" s="1">
        <v>67</v>
      </c>
      <c r="M27" s="1">
        <f t="shared" si="0"/>
        <v>84.36363636363636</v>
      </c>
      <c r="N27" s="1"/>
      <c r="O27" s="1"/>
    </row>
    <row r="28" spans="1:15" x14ac:dyDescent="0.25">
      <c r="A28">
        <v>1997</v>
      </c>
      <c r="B28" s="1">
        <v>64</v>
      </c>
      <c r="C28" s="1">
        <v>137</v>
      </c>
      <c r="D28" s="1">
        <v>110</v>
      </c>
      <c r="E28" s="1">
        <v>84</v>
      </c>
      <c r="F28" s="1">
        <v>160</v>
      </c>
      <c r="G28" s="1">
        <v>330</v>
      </c>
      <c r="H28" s="1">
        <v>185</v>
      </c>
      <c r="I28" s="1">
        <v>300</v>
      </c>
      <c r="J28" s="1">
        <v>48</v>
      </c>
      <c r="K28" s="1">
        <v>103</v>
      </c>
      <c r="L28" s="1">
        <v>145</v>
      </c>
      <c r="M28" s="1">
        <f t="shared" si="0"/>
        <v>151.45454545454547</v>
      </c>
      <c r="N28" s="1"/>
      <c r="O28" s="1"/>
    </row>
    <row r="29" spans="1:15" x14ac:dyDescent="0.25">
      <c r="A29">
        <v>1998</v>
      </c>
      <c r="B29" s="1">
        <v>61</v>
      </c>
      <c r="C29" s="1">
        <v>109</v>
      </c>
      <c r="D29" s="1">
        <v>74</v>
      </c>
      <c r="E29" s="1">
        <v>123</v>
      </c>
      <c r="F29" s="1">
        <v>122</v>
      </c>
      <c r="G29" s="1">
        <v>247</v>
      </c>
      <c r="H29" s="1">
        <v>213</v>
      </c>
      <c r="I29" s="1">
        <v>405</v>
      </c>
      <c r="J29" s="1">
        <v>60</v>
      </c>
      <c r="K29" s="1">
        <v>125</v>
      </c>
      <c r="L29" s="1">
        <v>179</v>
      </c>
      <c r="M29" s="1">
        <f t="shared" si="0"/>
        <v>156.18181818181819</v>
      </c>
      <c r="N29" s="1"/>
      <c r="O29" s="1"/>
    </row>
    <row r="30" spans="1:15" x14ac:dyDescent="0.25">
      <c r="A30">
        <v>1999</v>
      </c>
      <c r="B30" s="1">
        <v>59</v>
      </c>
      <c r="C30" s="1">
        <v>87</v>
      </c>
      <c r="D30" s="1">
        <v>71</v>
      </c>
      <c r="E30" s="1">
        <v>44</v>
      </c>
      <c r="F30" s="1">
        <v>133</v>
      </c>
      <c r="G30" s="1">
        <v>221</v>
      </c>
      <c r="H30" s="1">
        <v>177</v>
      </c>
      <c r="I30" s="1">
        <v>159</v>
      </c>
      <c r="J30" s="1">
        <v>44</v>
      </c>
      <c r="K30" s="1">
        <v>82</v>
      </c>
      <c r="L30" s="1">
        <v>142</v>
      </c>
      <c r="M30" s="1">
        <f t="shared" si="0"/>
        <v>110.81818181818181</v>
      </c>
      <c r="N30" s="1"/>
      <c r="O30" s="1"/>
    </row>
    <row r="31" spans="1:15" x14ac:dyDescent="0.25">
      <c r="A31">
        <v>2000</v>
      </c>
      <c r="B31" s="1">
        <v>73</v>
      </c>
      <c r="C31" s="1">
        <v>69</v>
      </c>
      <c r="D31" s="1">
        <v>41</v>
      </c>
      <c r="E31" s="1">
        <v>40</v>
      </c>
      <c r="F31" s="1">
        <v>98</v>
      </c>
      <c r="G31" s="1">
        <v>204</v>
      </c>
      <c r="H31" s="1">
        <v>106</v>
      </c>
      <c r="I31" s="1">
        <v>115</v>
      </c>
      <c r="J31" s="1">
        <v>48</v>
      </c>
      <c r="K31" s="1">
        <v>78</v>
      </c>
      <c r="L31" s="1">
        <v>133</v>
      </c>
      <c r="M31" s="1">
        <f t="shared" si="0"/>
        <v>91.36363636363636</v>
      </c>
      <c r="N31" s="1"/>
      <c r="O31" s="1"/>
    </row>
    <row r="32" spans="1:15" x14ac:dyDescent="0.25">
      <c r="A32">
        <v>2001</v>
      </c>
      <c r="B32" s="1">
        <v>0</v>
      </c>
      <c r="C32" s="1">
        <v>78</v>
      </c>
      <c r="D32" s="1">
        <v>131</v>
      </c>
      <c r="E32" s="1">
        <v>127</v>
      </c>
      <c r="F32" s="1">
        <v>343</v>
      </c>
      <c r="G32" s="1">
        <v>333</v>
      </c>
      <c r="H32" s="1">
        <v>278</v>
      </c>
      <c r="I32" s="1">
        <v>308</v>
      </c>
      <c r="J32" s="1">
        <v>76</v>
      </c>
      <c r="K32" s="1">
        <v>173</v>
      </c>
      <c r="L32" s="1">
        <v>255</v>
      </c>
      <c r="M32" s="1">
        <f t="shared" si="0"/>
        <v>191.09090909090909</v>
      </c>
      <c r="N32" s="1"/>
      <c r="O32" s="1"/>
    </row>
    <row r="33" spans="1:15" x14ac:dyDescent="0.25">
      <c r="A33">
        <v>2002</v>
      </c>
      <c r="B33" s="1">
        <v>41</v>
      </c>
      <c r="C33" s="1">
        <v>58</v>
      </c>
      <c r="D33" s="1">
        <v>34</v>
      </c>
      <c r="E33" s="1">
        <v>41</v>
      </c>
      <c r="F33" s="1">
        <v>73</v>
      </c>
      <c r="G33" s="1">
        <v>232</v>
      </c>
      <c r="H33" s="1">
        <v>110</v>
      </c>
      <c r="I33" s="1">
        <v>76</v>
      </c>
      <c r="J33" s="1">
        <v>31</v>
      </c>
      <c r="K33" s="1">
        <v>80</v>
      </c>
      <c r="L33" s="1">
        <v>57</v>
      </c>
      <c r="M33" s="1">
        <f t="shared" si="0"/>
        <v>75.727272727272734</v>
      </c>
      <c r="N33" s="1"/>
      <c r="O33" s="1"/>
    </row>
    <row r="34" spans="1:15" x14ac:dyDescent="0.25">
      <c r="A34">
        <v>2003</v>
      </c>
      <c r="B34" s="1">
        <v>43</v>
      </c>
      <c r="C34" s="1">
        <v>44</v>
      </c>
      <c r="D34" s="1">
        <v>45</v>
      </c>
      <c r="E34" s="1">
        <v>53</v>
      </c>
      <c r="F34" s="1">
        <v>109</v>
      </c>
      <c r="G34" s="1">
        <v>197</v>
      </c>
      <c r="H34" s="1">
        <v>191</v>
      </c>
      <c r="I34" s="1">
        <v>277</v>
      </c>
      <c r="J34" s="1">
        <v>34</v>
      </c>
      <c r="K34" s="1">
        <v>94</v>
      </c>
      <c r="L34" s="1">
        <v>125</v>
      </c>
      <c r="M34" s="1">
        <f t="shared" si="0"/>
        <v>110.18181818181819</v>
      </c>
      <c r="N34" s="1"/>
      <c r="O34" s="1"/>
    </row>
    <row r="35" spans="1:15" x14ac:dyDescent="0.25">
      <c r="A35">
        <v>2004</v>
      </c>
      <c r="B35" s="1">
        <v>66</v>
      </c>
      <c r="C35" s="1">
        <v>125</v>
      </c>
      <c r="D35" s="1">
        <v>36</v>
      </c>
      <c r="E35" s="1">
        <v>26</v>
      </c>
      <c r="F35" s="1">
        <v>114</v>
      </c>
      <c r="G35" s="1">
        <v>223</v>
      </c>
      <c r="H35" s="1">
        <v>153</v>
      </c>
      <c r="I35" s="1">
        <v>160</v>
      </c>
      <c r="J35" s="1">
        <v>58</v>
      </c>
      <c r="K35" s="1">
        <v>112</v>
      </c>
      <c r="L35" s="1">
        <v>132</v>
      </c>
      <c r="M35" s="1">
        <f t="shared" si="0"/>
        <v>109.54545454545455</v>
      </c>
      <c r="N35" s="1"/>
      <c r="O35" s="1"/>
    </row>
    <row r="36" spans="1:15" x14ac:dyDescent="0.25">
      <c r="A36">
        <v>2005</v>
      </c>
      <c r="B36" s="1">
        <v>34</v>
      </c>
      <c r="C36" s="1">
        <v>64</v>
      </c>
      <c r="D36" s="1">
        <v>29</v>
      </c>
      <c r="E36" s="1">
        <v>37</v>
      </c>
      <c r="F36" s="1">
        <v>109</v>
      </c>
      <c r="G36" s="1">
        <v>282</v>
      </c>
      <c r="H36" s="1">
        <v>76</v>
      </c>
      <c r="I36" s="1">
        <v>110</v>
      </c>
      <c r="J36" s="1">
        <v>27</v>
      </c>
      <c r="K36" s="1">
        <v>49</v>
      </c>
      <c r="L36" s="1">
        <v>174</v>
      </c>
      <c r="M36" s="1">
        <f t="shared" si="0"/>
        <v>90.090909090909093</v>
      </c>
      <c r="N36" s="1"/>
      <c r="O36" s="1"/>
    </row>
    <row r="37" spans="1:15" x14ac:dyDescent="0.25">
      <c r="A37">
        <v>2006</v>
      </c>
      <c r="B37" s="1">
        <v>48</v>
      </c>
      <c r="C37" s="1">
        <v>64</v>
      </c>
      <c r="D37" s="1">
        <v>83</v>
      </c>
      <c r="E37" s="1">
        <v>102</v>
      </c>
      <c r="F37" s="1">
        <v>126</v>
      </c>
      <c r="G37" s="1">
        <v>221</v>
      </c>
      <c r="H37" s="1">
        <v>259</v>
      </c>
      <c r="I37" s="1">
        <v>277</v>
      </c>
      <c r="J37" s="1">
        <v>39</v>
      </c>
      <c r="K37" s="1">
        <v>103</v>
      </c>
      <c r="L37" s="1">
        <v>183</v>
      </c>
      <c r="M37" s="1">
        <f t="shared" si="0"/>
        <v>136.81818181818181</v>
      </c>
      <c r="N37" s="1"/>
      <c r="O37" s="1"/>
    </row>
    <row r="38" spans="1:15" x14ac:dyDescent="0.25">
      <c r="A38">
        <v>2007</v>
      </c>
      <c r="B38" s="1">
        <v>50</v>
      </c>
      <c r="C38" s="1">
        <v>69</v>
      </c>
      <c r="D38" s="1">
        <v>25</v>
      </c>
      <c r="E38" s="1">
        <v>46</v>
      </c>
      <c r="F38" s="1">
        <v>50</v>
      </c>
      <c r="G38" s="1">
        <v>150</v>
      </c>
      <c r="H38" s="1">
        <v>138</v>
      </c>
      <c r="I38" s="1">
        <v>127</v>
      </c>
      <c r="J38" s="1">
        <v>37</v>
      </c>
      <c r="K38" s="1">
        <v>58</v>
      </c>
      <c r="L38" s="1">
        <v>122</v>
      </c>
      <c r="M38" s="1">
        <f t="shared" si="0"/>
        <v>79.272727272727266</v>
      </c>
      <c r="N38" s="1"/>
      <c r="O38" s="1"/>
    </row>
    <row r="39" spans="1:15" x14ac:dyDescent="0.25">
      <c r="A39">
        <v>2008</v>
      </c>
      <c r="B39" s="1">
        <v>36</v>
      </c>
      <c r="C39" s="1">
        <v>32</v>
      </c>
      <c r="D39" s="1">
        <v>24</v>
      </c>
      <c r="E39" s="1">
        <v>43</v>
      </c>
      <c r="F39" s="1">
        <v>94</v>
      </c>
      <c r="G39" s="1">
        <v>187</v>
      </c>
      <c r="H39" s="1">
        <v>111</v>
      </c>
      <c r="I39" s="1">
        <v>56</v>
      </c>
      <c r="J39" s="1">
        <v>18</v>
      </c>
      <c r="K39" s="1">
        <v>53</v>
      </c>
      <c r="L39" s="1">
        <v>71</v>
      </c>
      <c r="M39" s="1">
        <f t="shared" si="0"/>
        <v>65.909090909090907</v>
      </c>
      <c r="N39" s="1"/>
      <c r="O39" s="1"/>
    </row>
    <row r="40" spans="1:15" x14ac:dyDescent="0.25">
      <c r="A40">
        <v>2009</v>
      </c>
      <c r="B40" s="1">
        <v>68</v>
      </c>
      <c r="C40" s="1">
        <v>57</v>
      </c>
      <c r="D40" s="1">
        <v>69</v>
      </c>
      <c r="E40" s="1">
        <v>84</v>
      </c>
      <c r="F40" s="1">
        <v>162</v>
      </c>
      <c r="G40" s="1">
        <v>192</v>
      </c>
      <c r="H40" s="1">
        <v>156</v>
      </c>
      <c r="I40" s="1">
        <v>137</v>
      </c>
      <c r="J40" s="1">
        <v>31</v>
      </c>
      <c r="K40" s="1">
        <v>94</v>
      </c>
      <c r="L40" s="1">
        <v>212</v>
      </c>
      <c r="M40" s="1">
        <f t="shared" si="0"/>
        <v>114.72727272727273</v>
      </c>
      <c r="N40" s="1"/>
      <c r="O40" s="1"/>
    </row>
    <row r="41" spans="1:15" x14ac:dyDescent="0.25">
      <c r="A41">
        <v>2010</v>
      </c>
      <c r="B41" s="1">
        <v>113</v>
      </c>
      <c r="C41" s="1">
        <v>272</v>
      </c>
      <c r="D41" s="1">
        <v>82</v>
      </c>
      <c r="E41" s="1">
        <v>250</v>
      </c>
      <c r="F41" s="1">
        <v>116</v>
      </c>
      <c r="G41" s="1">
        <v>387</v>
      </c>
      <c r="H41" s="1">
        <v>313</v>
      </c>
      <c r="I41" s="1">
        <v>380</v>
      </c>
      <c r="J41" s="1">
        <v>114</v>
      </c>
      <c r="K41" s="1">
        <v>168</v>
      </c>
      <c r="L41" s="1">
        <v>225</v>
      </c>
      <c r="M41" s="1">
        <f t="shared" si="0"/>
        <v>220</v>
      </c>
      <c r="N41" s="1"/>
      <c r="O41" s="1"/>
    </row>
    <row r="42" spans="1:15" x14ac:dyDescent="0.25">
      <c r="A42">
        <v>2011</v>
      </c>
      <c r="B42" s="1">
        <v>90</v>
      </c>
      <c r="C42" s="1">
        <v>93</v>
      </c>
      <c r="D42" s="1">
        <v>75</v>
      </c>
      <c r="E42" s="1">
        <v>57</v>
      </c>
      <c r="F42" s="1">
        <v>126</v>
      </c>
      <c r="G42" s="1">
        <v>214</v>
      </c>
      <c r="H42" s="1">
        <v>207</v>
      </c>
      <c r="I42" s="1">
        <v>231</v>
      </c>
      <c r="J42" s="1">
        <v>53</v>
      </c>
      <c r="K42" s="1">
        <v>207</v>
      </c>
      <c r="L42" s="1">
        <v>148</v>
      </c>
      <c r="M42" s="1">
        <f t="shared" si="0"/>
        <v>136.45454545454547</v>
      </c>
      <c r="N42" s="1"/>
      <c r="O42" s="1"/>
    </row>
    <row r="43" spans="1:15" x14ac:dyDescent="0.25">
      <c r="A43">
        <v>2012</v>
      </c>
      <c r="B43" s="1">
        <v>73</v>
      </c>
      <c r="C43" s="1">
        <v>64</v>
      </c>
      <c r="D43" s="1">
        <v>38</v>
      </c>
      <c r="E43" s="1">
        <v>53</v>
      </c>
      <c r="F43" s="1">
        <v>107</v>
      </c>
      <c r="G43" s="1">
        <v>211</v>
      </c>
      <c r="H43" s="1">
        <v>137</v>
      </c>
      <c r="I43" s="1">
        <v>81</v>
      </c>
      <c r="J43" s="1">
        <v>44</v>
      </c>
      <c r="K43" s="1">
        <v>117</v>
      </c>
      <c r="L43" s="1">
        <v>113</v>
      </c>
      <c r="M43" s="1">
        <f t="shared" si="0"/>
        <v>94.36363636363636</v>
      </c>
      <c r="N43" s="1"/>
      <c r="O43" s="1"/>
    </row>
    <row r="44" spans="1:15" x14ac:dyDescent="0.25">
      <c r="A44">
        <v>2013</v>
      </c>
      <c r="B44" s="1">
        <v>81</v>
      </c>
      <c r="C44" s="1">
        <v>62</v>
      </c>
      <c r="D44" s="1">
        <v>87</v>
      </c>
      <c r="E44" s="1">
        <v>186</v>
      </c>
      <c r="F44" s="1">
        <v>132</v>
      </c>
      <c r="G44" s="1">
        <v>478</v>
      </c>
      <c r="H44" s="1">
        <v>241</v>
      </c>
      <c r="I44" s="1">
        <v>214</v>
      </c>
      <c r="J44" s="1">
        <v>44</v>
      </c>
      <c r="K44" s="1">
        <v>131</v>
      </c>
      <c r="L44" s="1">
        <v>279</v>
      </c>
      <c r="M44" s="1">
        <f t="shared" si="0"/>
        <v>175.90909090909091</v>
      </c>
      <c r="N44" s="1"/>
      <c r="O44" s="1"/>
    </row>
    <row r="45" spans="1:15" x14ac:dyDescent="0.25">
      <c r="A45">
        <v>2014</v>
      </c>
      <c r="B45" s="1">
        <v>62</v>
      </c>
      <c r="C45" s="1">
        <v>82</v>
      </c>
      <c r="D45" s="1">
        <v>29</v>
      </c>
      <c r="E45" s="1">
        <v>72</v>
      </c>
      <c r="F45" s="1">
        <v>95</v>
      </c>
      <c r="G45" s="1">
        <v>216</v>
      </c>
      <c r="H45" s="1">
        <v>114</v>
      </c>
      <c r="I45" s="1">
        <v>118</v>
      </c>
      <c r="J45" s="1">
        <v>45</v>
      </c>
      <c r="K45" s="1">
        <v>61</v>
      </c>
      <c r="L45" s="1">
        <v>147</v>
      </c>
      <c r="M45" s="1">
        <f t="shared" si="0"/>
        <v>94.63636363636364</v>
      </c>
      <c r="N45" s="1"/>
      <c r="O45" s="1"/>
    </row>
    <row r="46" spans="1:15" x14ac:dyDescent="0.25">
      <c r="A46">
        <v>2015</v>
      </c>
      <c r="B46" s="1">
        <v>73</v>
      </c>
      <c r="C46" s="1">
        <v>65</v>
      </c>
      <c r="D46" s="1">
        <v>76</v>
      </c>
      <c r="E46" s="1">
        <v>62</v>
      </c>
      <c r="F46" s="1">
        <v>122</v>
      </c>
      <c r="G46" s="1">
        <v>229</v>
      </c>
      <c r="H46" s="1">
        <v>258</v>
      </c>
      <c r="I46" s="1">
        <v>156</v>
      </c>
      <c r="J46" s="1">
        <v>46</v>
      </c>
      <c r="K46" s="1">
        <v>122</v>
      </c>
      <c r="L46" s="1">
        <v>214</v>
      </c>
      <c r="M46" s="1">
        <f t="shared" si="0"/>
        <v>129.36363636363637</v>
      </c>
      <c r="N46" s="1"/>
      <c r="O46" s="1"/>
    </row>
    <row r="47" spans="1:15" x14ac:dyDescent="0.25">
      <c r="A47">
        <v>2016</v>
      </c>
      <c r="B47" s="1">
        <v>65</v>
      </c>
      <c r="C47" s="1">
        <v>105</v>
      </c>
      <c r="D47" s="1">
        <v>58</v>
      </c>
      <c r="E47" s="1">
        <v>78</v>
      </c>
      <c r="F47" s="1">
        <v>124</v>
      </c>
      <c r="G47" s="1">
        <v>260</v>
      </c>
      <c r="H47" s="1">
        <v>180</v>
      </c>
      <c r="I47" s="1">
        <v>308</v>
      </c>
      <c r="J47" s="1">
        <v>38</v>
      </c>
      <c r="K47" s="1">
        <v>86</v>
      </c>
      <c r="L47" s="1">
        <v>216</v>
      </c>
      <c r="M47" s="1">
        <f t="shared" si="0"/>
        <v>138</v>
      </c>
      <c r="N47" s="1"/>
      <c r="O47" s="1"/>
    </row>
    <row r="48" spans="1:15" x14ac:dyDescent="0.25">
      <c r="A48">
        <v>2017</v>
      </c>
      <c r="B48" s="1">
        <v>66</v>
      </c>
      <c r="C48" s="1">
        <v>66</v>
      </c>
      <c r="D48" s="1">
        <v>50</v>
      </c>
      <c r="E48" s="1">
        <v>156</v>
      </c>
      <c r="F48" s="1">
        <v>255</v>
      </c>
      <c r="G48" s="1">
        <v>286</v>
      </c>
      <c r="H48" s="1">
        <v>192</v>
      </c>
      <c r="I48" s="1">
        <v>312</v>
      </c>
      <c r="J48" s="1">
        <v>71</v>
      </c>
      <c r="K48" s="1">
        <v>158</v>
      </c>
      <c r="L48" s="1">
        <v>231</v>
      </c>
      <c r="M48" s="1">
        <f t="shared" si="0"/>
        <v>167.54545454545453</v>
      </c>
      <c r="N48" s="1"/>
      <c r="O48" s="1"/>
    </row>
    <row r="49" spans="1:15" x14ac:dyDescent="0.25">
      <c r="A49">
        <v>2018</v>
      </c>
      <c r="B49" s="1">
        <v>27</v>
      </c>
      <c r="C49" s="1">
        <v>35</v>
      </c>
      <c r="D49" s="1">
        <v>43</v>
      </c>
      <c r="E49" s="1">
        <v>34</v>
      </c>
      <c r="F49" s="1">
        <v>140</v>
      </c>
      <c r="G49" s="1">
        <v>220</v>
      </c>
      <c r="H49" s="1">
        <v>64</v>
      </c>
      <c r="I49" s="1">
        <v>66</v>
      </c>
      <c r="J49" s="1">
        <v>28</v>
      </c>
      <c r="K49" s="1">
        <v>108</v>
      </c>
      <c r="L49" s="1">
        <v>67</v>
      </c>
      <c r="M49" s="1">
        <f t="shared" si="0"/>
        <v>75.63636363636364</v>
      </c>
      <c r="N49" s="1"/>
      <c r="O49" s="1"/>
    </row>
    <row r="50" spans="1:15" x14ac:dyDescent="0.25">
      <c r="A50">
        <v>2019</v>
      </c>
      <c r="B50" s="1">
        <v>35</v>
      </c>
      <c r="C50" s="1">
        <v>46</v>
      </c>
      <c r="D50" s="1">
        <v>50</v>
      </c>
      <c r="E50" s="1">
        <v>23</v>
      </c>
      <c r="F50" s="1">
        <v>172</v>
      </c>
      <c r="G50" s="1">
        <v>235</v>
      </c>
      <c r="H50" s="1">
        <v>117</v>
      </c>
      <c r="I50" s="1">
        <v>114</v>
      </c>
      <c r="J50" s="1">
        <v>29</v>
      </c>
      <c r="K50" s="1">
        <v>61</v>
      </c>
      <c r="L50" s="1">
        <v>132</v>
      </c>
      <c r="M50" s="1">
        <f t="shared" si="0"/>
        <v>92.181818181818187</v>
      </c>
      <c r="N50" s="1"/>
      <c r="O50" s="1"/>
    </row>
    <row r="51" spans="1:15" x14ac:dyDescent="0.25">
      <c r="A51">
        <v>2020</v>
      </c>
      <c r="B51" s="1">
        <v>34</v>
      </c>
      <c r="C51" s="1">
        <v>44</v>
      </c>
      <c r="D51" s="1">
        <v>78</v>
      </c>
      <c r="E51" s="1">
        <v>38</v>
      </c>
      <c r="F51" s="1">
        <v>120</v>
      </c>
      <c r="G51" s="1">
        <v>280</v>
      </c>
      <c r="H51" s="1">
        <v>267</v>
      </c>
      <c r="I51" s="1">
        <v>198</v>
      </c>
      <c r="J51" s="1">
        <v>34</v>
      </c>
      <c r="K51" s="1">
        <v>98</v>
      </c>
      <c r="L51" s="1">
        <v>357</v>
      </c>
      <c r="M51" s="1">
        <f t="shared" si="0"/>
        <v>140.72727272727272</v>
      </c>
      <c r="N51" s="1"/>
      <c r="O51" s="1"/>
    </row>
    <row r="52" spans="1:15" x14ac:dyDescent="0.25">
      <c r="A52">
        <v>2021</v>
      </c>
      <c r="B52" s="1">
        <v>55</v>
      </c>
      <c r="C52" s="1">
        <v>156</v>
      </c>
      <c r="D52" s="1">
        <v>90</v>
      </c>
      <c r="E52" s="1">
        <v>81</v>
      </c>
      <c r="F52" s="1">
        <v>172</v>
      </c>
      <c r="G52" s="1">
        <v>237</v>
      </c>
      <c r="H52" s="1">
        <v>146</v>
      </c>
      <c r="I52" s="1">
        <v>140</v>
      </c>
      <c r="J52" s="1">
        <v>74</v>
      </c>
      <c r="K52" s="1">
        <v>103</v>
      </c>
      <c r="L52" s="1">
        <v>173</v>
      </c>
      <c r="M52" s="1">
        <f t="shared" si="0"/>
        <v>129.72727272727272</v>
      </c>
      <c r="N52" s="1"/>
      <c r="O52" s="1"/>
    </row>
    <row r="53" spans="1:15" x14ac:dyDescent="0.25">
      <c r="A53">
        <v>2022</v>
      </c>
      <c r="B53" s="1">
        <v>32</v>
      </c>
      <c r="C53" s="1">
        <v>68</v>
      </c>
      <c r="D53" s="1">
        <v>90</v>
      </c>
      <c r="E53" s="1">
        <v>34</v>
      </c>
      <c r="F53" s="1">
        <v>282</v>
      </c>
      <c r="G53" s="1">
        <v>246</v>
      </c>
      <c r="H53" s="1">
        <v>132</v>
      </c>
      <c r="I53" s="1">
        <v>189</v>
      </c>
      <c r="J53" s="1">
        <v>34</v>
      </c>
      <c r="K53" s="1">
        <v>83</v>
      </c>
      <c r="L53" s="1">
        <v>140</v>
      </c>
      <c r="M53" s="1">
        <f t="shared" si="0"/>
        <v>120.90909090909091</v>
      </c>
      <c r="N53" s="1"/>
      <c r="O53" s="1"/>
    </row>
    <row r="54" spans="1:15" x14ac:dyDescent="0.25">
      <c r="A54">
        <v>2023</v>
      </c>
      <c r="B54" s="1">
        <v>46</v>
      </c>
      <c r="C54" s="1">
        <v>81</v>
      </c>
      <c r="D54" s="1">
        <v>139</v>
      </c>
      <c r="E54" s="1">
        <v>80</v>
      </c>
      <c r="F54" s="1">
        <v>182</v>
      </c>
      <c r="G54" s="1">
        <v>394</v>
      </c>
      <c r="H54" s="1">
        <v>130</v>
      </c>
      <c r="I54" s="1">
        <v>210</v>
      </c>
      <c r="J54" s="1">
        <v>45</v>
      </c>
      <c r="K54" s="1">
        <v>178</v>
      </c>
      <c r="L54" s="1">
        <v>182</v>
      </c>
      <c r="M54" s="1">
        <f t="shared" si="0"/>
        <v>151.54545454545453</v>
      </c>
      <c r="N54" s="1"/>
      <c r="O54" s="1"/>
    </row>
    <row r="55" spans="1:15" x14ac:dyDescent="0.25">
      <c r="A55">
        <v>2024</v>
      </c>
      <c r="B55" s="1">
        <v>29</v>
      </c>
      <c r="C55" s="1">
        <v>65</v>
      </c>
      <c r="D55" s="1">
        <v>56</v>
      </c>
      <c r="E55" s="1">
        <v>58</v>
      </c>
      <c r="F55" s="1">
        <v>366</v>
      </c>
      <c r="G55" s="1">
        <v>468</v>
      </c>
      <c r="H55" s="1">
        <v>200</v>
      </c>
      <c r="I55" s="1">
        <v>238</v>
      </c>
      <c r="J55" s="1">
        <v>30</v>
      </c>
      <c r="K55" s="1">
        <v>71</v>
      </c>
      <c r="L55" s="1">
        <v>189</v>
      </c>
      <c r="M55" s="1">
        <f t="shared" si="0"/>
        <v>160.90909090909091</v>
      </c>
      <c r="N55" s="1"/>
      <c r="O55" s="1"/>
    </row>
    <row r="56" spans="1:15" x14ac:dyDescent="0.25">
      <c r="A56">
        <v>2025</v>
      </c>
      <c r="B56" s="1">
        <v>48</v>
      </c>
      <c r="C56" s="1">
        <v>62</v>
      </c>
      <c r="D56" s="1">
        <v>104</v>
      </c>
      <c r="E56" s="1">
        <v>84</v>
      </c>
      <c r="F56" s="1">
        <v>287</v>
      </c>
      <c r="G56" s="1">
        <v>257</v>
      </c>
      <c r="H56" s="1">
        <v>187</v>
      </c>
      <c r="I56" s="1">
        <v>228</v>
      </c>
      <c r="J56" s="1">
        <v>38</v>
      </c>
      <c r="K56" s="1">
        <v>117</v>
      </c>
      <c r="L56" s="1">
        <v>151</v>
      </c>
      <c r="M56" s="1">
        <f t="shared" si="0"/>
        <v>142.09090909090909</v>
      </c>
      <c r="N56" s="1"/>
      <c r="O56" s="1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6"/>
  <sheetViews>
    <sheetView workbookViewId="0">
      <selection activeCell="Q1" sqref="Q1"/>
    </sheetView>
  </sheetViews>
  <sheetFormatPr defaultRowHeight="15" x14ac:dyDescent="0.25"/>
  <sheetData>
    <row r="1" spans="1:18" ht="75" x14ac:dyDescent="0.25">
      <c r="B1" t="s">
        <v>81</v>
      </c>
      <c r="C1" t="s">
        <v>82</v>
      </c>
      <c r="D1" t="s">
        <v>83</v>
      </c>
      <c r="E1" t="s">
        <v>84</v>
      </c>
      <c r="F1" t="s">
        <v>85</v>
      </c>
      <c r="G1" t="s">
        <v>86</v>
      </c>
      <c r="H1" t="s">
        <v>87</v>
      </c>
      <c r="I1" t="s">
        <v>88</v>
      </c>
      <c r="J1" t="s">
        <v>89</v>
      </c>
      <c r="K1" t="s">
        <v>90</v>
      </c>
      <c r="L1" t="s">
        <v>91</v>
      </c>
      <c r="M1" t="s">
        <v>92</v>
      </c>
      <c r="N1" t="s">
        <v>93</v>
      </c>
      <c r="O1" t="s">
        <v>94</v>
      </c>
      <c r="P1" t="s">
        <v>95</v>
      </c>
      <c r="Q1" s="3" t="s">
        <v>213</v>
      </c>
    </row>
    <row r="2" spans="1:18" x14ac:dyDescent="0.25">
      <c r="A2">
        <v>1971</v>
      </c>
      <c r="B2" s="1">
        <v>16</v>
      </c>
      <c r="C2" s="1">
        <v>62</v>
      </c>
      <c r="D2" s="1">
        <v>42</v>
      </c>
      <c r="E2" s="1">
        <v>24</v>
      </c>
      <c r="F2" s="1">
        <v>15</v>
      </c>
      <c r="G2" s="1">
        <v>0</v>
      </c>
      <c r="H2" s="1">
        <v>34</v>
      </c>
      <c r="I2" s="1">
        <v>0</v>
      </c>
      <c r="J2" s="1">
        <v>29</v>
      </c>
      <c r="K2" s="1">
        <v>22</v>
      </c>
      <c r="L2" s="1">
        <v>31</v>
      </c>
      <c r="M2" s="1">
        <v>12</v>
      </c>
      <c r="N2" s="1">
        <v>13</v>
      </c>
      <c r="O2" s="1">
        <v>19</v>
      </c>
      <c r="P2" s="1">
        <v>27</v>
      </c>
      <c r="Q2" s="1">
        <f>AVERAGE(B2:P2)</f>
        <v>23.066666666666666</v>
      </c>
      <c r="R2" s="1"/>
    </row>
    <row r="3" spans="1:18" x14ac:dyDescent="0.25">
      <c r="A3">
        <v>1972</v>
      </c>
      <c r="B3" s="1">
        <v>20</v>
      </c>
      <c r="C3" s="1">
        <v>85</v>
      </c>
      <c r="D3" s="1">
        <v>59</v>
      </c>
      <c r="E3" s="1">
        <v>50</v>
      </c>
      <c r="F3" s="1">
        <v>20</v>
      </c>
      <c r="G3" s="1">
        <v>0</v>
      </c>
      <c r="H3" s="1">
        <v>32</v>
      </c>
      <c r="I3" s="1">
        <v>15</v>
      </c>
      <c r="J3" s="1">
        <v>33</v>
      </c>
      <c r="K3" s="1">
        <v>27</v>
      </c>
      <c r="L3" s="1">
        <v>51</v>
      </c>
      <c r="M3" s="1">
        <v>18</v>
      </c>
      <c r="N3" s="1">
        <v>35</v>
      </c>
      <c r="O3" s="1">
        <v>24</v>
      </c>
      <c r="P3" s="1">
        <v>45</v>
      </c>
      <c r="Q3" s="1">
        <f t="shared" ref="Q3:Q56" si="0">AVERAGE(B3:P3)</f>
        <v>34.266666666666666</v>
      </c>
      <c r="R3" s="1"/>
    </row>
    <row r="4" spans="1:18" x14ac:dyDescent="0.25">
      <c r="A4">
        <v>1973</v>
      </c>
      <c r="B4" s="1">
        <v>15</v>
      </c>
      <c r="C4" s="1">
        <v>73</v>
      </c>
      <c r="D4" s="1">
        <v>15</v>
      </c>
      <c r="E4" s="1">
        <v>26</v>
      </c>
      <c r="F4" s="1">
        <v>16</v>
      </c>
      <c r="G4" s="1">
        <v>0</v>
      </c>
      <c r="H4" s="1">
        <v>21</v>
      </c>
      <c r="I4" s="1">
        <v>13</v>
      </c>
      <c r="J4" s="1">
        <v>17</v>
      </c>
      <c r="K4" s="1">
        <v>18</v>
      </c>
      <c r="L4" s="1">
        <v>28</v>
      </c>
      <c r="M4" s="1">
        <v>21</v>
      </c>
      <c r="N4" s="1">
        <v>24</v>
      </c>
      <c r="O4" s="1">
        <v>15</v>
      </c>
      <c r="P4" s="1">
        <v>27</v>
      </c>
      <c r="Q4" s="1">
        <f t="shared" si="0"/>
        <v>21.933333333333334</v>
      </c>
      <c r="R4" s="1"/>
    </row>
    <row r="5" spans="1:18" x14ac:dyDescent="0.25">
      <c r="A5">
        <v>1974</v>
      </c>
      <c r="B5" s="1">
        <v>14</v>
      </c>
      <c r="C5" s="1">
        <v>30</v>
      </c>
      <c r="D5" s="1">
        <v>32</v>
      </c>
      <c r="E5" s="1">
        <v>29</v>
      </c>
      <c r="F5" s="1">
        <v>13</v>
      </c>
      <c r="G5" s="1">
        <v>0</v>
      </c>
      <c r="H5" s="1">
        <v>20</v>
      </c>
      <c r="I5" s="1">
        <v>0</v>
      </c>
      <c r="J5" s="1">
        <v>30</v>
      </c>
      <c r="K5" s="1">
        <v>30</v>
      </c>
      <c r="L5" s="1">
        <v>22</v>
      </c>
      <c r="M5" s="1">
        <v>17</v>
      </c>
      <c r="N5" s="1">
        <v>20</v>
      </c>
      <c r="O5" s="1">
        <v>10</v>
      </c>
      <c r="P5" s="1">
        <v>23</v>
      </c>
      <c r="Q5" s="1">
        <f t="shared" si="0"/>
        <v>19.333333333333332</v>
      </c>
      <c r="R5" s="1"/>
    </row>
    <row r="6" spans="1:18" x14ac:dyDescent="0.25">
      <c r="A6">
        <v>1975</v>
      </c>
      <c r="B6" s="1">
        <v>29</v>
      </c>
      <c r="C6" s="1">
        <v>34</v>
      </c>
      <c r="D6" s="1">
        <v>61</v>
      </c>
      <c r="E6" s="1">
        <v>50</v>
      </c>
      <c r="F6" s="1">
        <v>10</v>
      </c>
      <c r="G6" s="1">
        <v>0</v>
      </c>
      <c r="H6" s="1">
        <v>25</v>
      </c>
      <c r="I6" s="1">
        <v>19</v>
      </c>
      <c r="J6" s="1">
        <v>31</v>
      </c>
      <c r="K6" s="1">
        <v>17</v>
      </c>
      <c r="L6" s="1">
        <v>0</v>
      </c>
      <c r="M6" s="1">
        <v>13</v>
      </c>
      <c r="N6" s="1">
        <v>29</v>
      </c>
      <c r="O6" s="1">
        <v>0</v>
      </c>
      <c r="P6" s="1">
        <v>17</v>
      </c>
      <c r="Q6" s="1">
        <f t="shared" si="0"/>
        <v>22.333333333333332</v>
      </c>
      <c r="R6" s="1"/>
    </row>
    <row r="7" spans="1:18" x14ac:dyDescent="0.25">
      <c r="A7">
        <v>1976</v>
      </c>
      <c r="B7" s="1">
        <v>36</v>
      </c>
      <c r="C7" s="1">
        <v>43</v>
      </c>
      <c r="D7" s="1">
        <v>22</v>
      </c>
      <c r="E7" s="1">
        <v>23</v>
      </c>
      <c r="F7" s="1">
        <v>13</v>
      </c>
      <c r="G7" s="1">
        <v>0</v>
      </c>
      <c r="H7" s="1">
        <v>25</v>
      </c>
      <c r="I7" s="1">
        <v>22</v>
      </c>
      <c r="J7" s="1">
        <v>42</v>
      </c>
      <c r="K7" s="1">
        <v>34</v>
      </c>
      <c r="L7" s="1">
        <v>34</v>
      </c>
      <c r="M7" s="1">
        <v>25</v>
      </c>
      <c r="N7" s="1">
        <v>18</v>
      </c>
      <c r="O7" s="1">
        <v>32</v>
      </c>
      <c r="P7" s="1">
        <v>26</v>
      </c>
      <c r="Q7" s="1">
        <f t="shared" si="0"/>
        <v>26.333333333333332</v>
      </c>
      <c r="R7" s="1"/>
    </row>
    <row r="8" spans="1:18" x14ac:dyDescent="0.25">
      <c r="A8">
        <v>1977</v>
      </c>
      <c r="B8" s="1">
        <v>24</v>
      </c>
      <c r="C8" s="1">
        <v>56</v>
      </c>
      <c r="D8" s="1">
        <v>51</v>
      </c>
      <c r="E8" s="1">
        <v>36</v>
      </c>
      <c r="F8" s="1">
        <v>18</v>
      </c>
      <c r="G8" s="1">
        <v>0</v>
      </c>
      <c r="H8" s="1">
        <v>41</v>
      </c>
      <c r="I8" s="1">
        <v>0</v>
      </c>
      <c r="J8" s="1">
        <v>17</v>
      </c>
      <c r="K8" s="1">
        <v>57</v>
      </c>
      <c r="L8" s="1">
        <v>27</v>
      </c>
      <c r="M8" s="1">
        <v>26</v>
      </c>
      <c r="N8" s="1">
        <v>39</v>
      </c>
      <c r="O8" s="1">
        <v>18</v>
      </c>
      <c r="P8" s="1">
        <v>18</v>
      </c>
      <c r="Q8" s="1">
        <f t="shared" si="0"/>
        <v>28.533333333333335</v>
      </c>
      <c r="R8" s="1"/>
    </row>
    <row r="9" spans="1:18" x14ac:dyDescent="0.25">
      <c r="A9">
        <v>1978</v>
      </c>
      <c r="B9" s="1">
        <v>0.5</v>
      </c>
      <c r="C9" s="1">
        <v>52.2</v>
      </c>
      <c r="D9" s="1">
        <v>36.97</v>
      </c>
      <c r="E9" s="1">
        <v>48</v>
      </c>
      <c r="F9" s="1">
        <v>22</v>
      </c>
      <c r="G9" s="1">
        <v>58.9</v>
      </c>
      <c r="H9" s="1">
        <v>30.8</v>
      </c>
      <c r="I9" s="1">
        <v>12.8</v>
      </c>
      <c r="J9" s="1">
        <v>19</v>
      </c>
      <c r="K9" s="1">
        <v>22.1</v>
      </c>
      <c r="L9" s="1">
        <v>31.98</v>
      </c>
      <c r="M9" s="1">
        <v>19.600000000000001</v>
      </c>
      <c r="N9" s="1">
        <v>33.700000000000003</v>
      </c>
      <c r="O9" s="1">
        <v>16.2</v>
      </c>
      <c r="P9" s="1">
        <v>13.54</v>
      </c>
      <c r="Q9" s="1">
        <f t="shared" si="0"/>
        <v>27.886000000000006</v>
      </c>
      <c r="R9" s="1"/>
    </row>
    <row r="10" spans="1:18" x14ac:dyDescent="0.25">
      <c r="A10">
        <v>1979</v>
      </c>
      <c r="B10" s="1">
        <v>30.4</v>
      </c>
      <c r="C10" s="1">
        <v>23.4</v>
      </c>
      <c r="D10" s="1">
        <v>22.4</v>
      </c>
      <c r="E10" s="1">
        <v>30</v>
      </c>
      <c r="F10" s="1">
        <v>22.41</v>
      </c>
      <c r="G10" s="1">
        <v>62.1</v>
      </c>
      <c r="H10" s="1">
        <v>21.6</v>
      </c>
      <c r="I10" s="1">
        <v>23.8</v>
      </c>
      <c r="J10" s="1">
        <v>24</v>
      </c>
      <c r="K10" s="1">
        <v>19.2</v>
      </c>
      <c r="L10" s="1">
        <v>54.42</v>
      </c>
      <c r="M10" s="1">
        <v>30</v>
      </c>
      <c r="N10" s="1">
        <v>22.5</v>
      </c>
      <c r="O10" s="1">
        <v>27</v>
      </c>
      <c r="P10" s="1">
        <v>13.5</v>
      </c>
      <c r="Q10" s="1">
        <f t="shared" si="0"/>
        <v>28.448666666666668</v>
      </c>
      <c r="R10" s="1"/>
    </row>
    <row r="11" spans="1:18" x14ac:dyDescent="0.25">
      <c r="A11">
        <v>1980</v>
      </c>
      <c r="B11" s="1">
        <v>19.5</v>
      </c>
      <c r="C11" s="1">
        <v>24</v>
      </c>
      <c r="D11" s="1">
        <v>26</v>
      </c>
      <c r="E11" s="1">
        <v>25.2</v>
      </c>
      <c r="F11" s="1">
        <v>24</v>
      </c>
      <c r="G11" s="1">
        <v>27.3</v>
      </c>
      <c r="H11" s="1">
        <v>24</v>
      </c>
      <c r="I11" s="1">
        <v>17.600000000000001</v>
      </c>
      <c r="J11" s="1">
        <v>24</v>
      </c>
      <c r="K11" s="1">
        <v>13.8</v>
      </c>
      <c r="L11" s="1">
        <v>34</v>
      </c>
      <c r="M11" s="1">
        <v>27</v>
      </c>
      <c r="N11" s="1">
        <v>11.2</v>
      </c>
      <c r="O11" s="1">
        <v>23</v>
      </c>
      <c r="P11" s="1">
        <v>15.2</v>
      </c>
      <c r="Q11" s="1">
        <f t="shared" si="0"/>
        <v>22.386666666666663</v>
      </c>
      <c r="R11" s="1"/>
    </row>
    <row r="12" spans="1:18" x14ac:dyDescent="0.25">
      <c r="A12">
        <v>1981</v>
      </c>
      <c r="B12" s="1">
        <v>7</v>
      </c>
      <c r="C12" s="1">
        <v>3.8</v>
      </c>
      <c r="D12" s="1">
        <v>18.399999999999999</v>
      </c>
      <c r="E12" s="1">
        <v>8</v>
      </c>
      <c r="F12" s="1">
        <v>0</v>
      </c>
      <c r="G12" s="1">
        <v>30.8</v>
      </c>
      <c r="H12" s="1">
        <v>13.2</v>
      </c>
      <c r="I12" s="1">
        <v>0</v>
      </c>
      <c r="J12" s="1">
        <v>19.2</v>
      </c>
      <c r="K12" s="1">
        <v>9</v>
      </c>
      <c r="L12" s="1">
        <v>0</v>
      </c>
      <c r="M12" s="1">
        <v>0</v>
      </c>
      <c r="N12" s="1">
        <v>11.5</v>
      </c>
      <c r="O12" s="1">
        <v>18</v>
      </c>
      <c r="P12" s="1">
        <v>7.2</v>
      </c>
      <c r="Q12" s="1">
        <f t="shared" si="0"/>
        <v>9.74</v>
      </c>
      <c r="R12" s="1"/>
    </row>
    <row r="13" spans="1:18" x14ac:dyDescent="0.25">
      <c r="A13">
        <v>1982</v>
      </c>
      <c r="B13" s="1">
        <v>8.5</v>
      </c>
      <c r="C13" s="1">
        <v>17.399999999999999</v>
      </c>
      <c r="D13" s="1">
        <v>0</v>
      </c>
      <c r="E13" s="1">
        <v>49</v>
      </c>
      <c r="F13" s="1">
        <v>23.2</v>
      </c>
      <c r="G13" s="1">
        <v>20.399999999999999</v>
      </c>
      <c r="H13" s="1">
        <v>6.8</v>
      </c>
      <c r="I13" s="1">
        <v>7.8</v>
      </c>
      <c r="J13" s="1">
        <v>14.4</v>
      </c>
      <c r="K13" s="1">
        <v>16</v>
      </c>
      <c r="L13" s="1">
        <v>22.53</v>
      </c>
      <c r="M13" s="1">
        <v>34.200000000000003</v>
      </c>
      <c r="N13" s="1">
        <v>0</v>
      </c>
      <c r="O13" s="1">
        <v>20.8</v>
      </c>
      <c r="P13" s="1">
        <v>11.9</v>
      </c>
      <c r="Q13" s="1">
        <f t="shared" si="0"/>
        <v>16.862000000000002</v>
      </c>
      <c r="R13" s="1"/>
    </row>
    <row r="14" spans="1:18" x14ac:dyDescent="0.25">
      <c r="A14">
        <v>1983</v>
      </c>
      <c r="B14" s="1">
        <v>12</v>
      </c>
      <c r="C14" s="1">
        <v>21.7</v>
      </c>
      <c r="D14" s="1">
        <v>14.3</v>
      </c>
      <c r="E14" s="1">
        <v>14.4</v>
      </c>
      <c r="F14" s="1">
        <v>34</v>
      </c>
      <c r="G14" s="1">
        <v>44.2</v>
      </c>
      <c r="H14" s="1">
        <v>18.399999999999999</v>
      </c>
      <c r="I14" s="1">
        <v>36</v>
      </c>
      <c r="J14" s="1">
        <v>34.200000000000003</v>
      </c>
      <c r="K14" s="1">
        <v>26.4</v>
      </c>
      <c r="L14" s="1">
        <v>18.7</v>
      </c>
      <c r="M14" s="1">
        <v>38.4</v>
      </c>
      <c r="N14" s="1">
        <v>13.6</v>
      </c>
      <c r="O14" s="1">
        <v>37.4</v>
      </c>
      <c r="P14" s="1">
        <v>11.5</v>
      </c>
      <c r="Q14" s="1">
        <f t="shared" si="0"/>
        <v>25.013333333333335</v>
      </c>
      <c r="R14" s="1"/>
    </row>
    <row r="15" spans="1:18" x14ac:dyDescent="0.25">
      <c r="A15">
        <v>1984</v>
      </c>
      <c r="B15" s="1">
        <v>9.8000000000000007</v>
      </c>
      <c r="C15" s="1">
        <v>15.2</v>
      </c>
      <c r="D15" s="1">
        <v>39.93</v>
      </c>
      <c r="E15" s="1">
        <v>40</v>
      </c>
      <c r="F15" s="1">
        <v>30.6</v>
      </c>
      <c r="G15" s="1">
        <v>58</v>
      </c>
      <c r="H15" s="1">
        <v>17.600000000000001</v>
      </c>
      <c r="I15" s="1">
        <v>20.8</v>
      </c>
      <c r="J15" s="1">
        <v>23.8</v>
      </c>
      <c r="K15" s="1">
        <v>31.5</v>
      </c>
      <c r="L15" s="1">
        <v>14.4</v>
      </c>
      <c r="M15" s="1">
        <v>16.8</v>
      </c>
      <c r="N15" s="1">
        <v>10</v>
      </c>
      <c r="O15" s="1">
        <v>12</v>
      </c>
      <c r="P15" s="1">
        <v>15.3</v>
      </c>
      <c r="Q15" s="1">
        <f t="shared" si="0"/>
        <v>23.715333333333334</v>
      </c>
      <c r="R15" s="1"/>
    </row>
    <row r="16" spans="1:18" x14ac:dyDescent="0.25">
      <c r="A16">
        <v>1985</v>
      </c>
      <c r="B16" s="1">
        <v>12.6</v>
      </c>
      <c r="C16" s="1">
        <v>62.5</v>
      </c>
      <c r="D16" s="1">
        <v>50.42</v>
      </c>
      <c r="E16" s="1">
        <v>32.299999999999997</v>
      </c>
      <c r="F16" s="1">
        <v>36.1</v>
      </c>
      <c r="G16" s="1">
        <v>83.2</v>
      </c>
      <c r="H16" s="1">
        <v>30.6</v>
      </c>
      <c r="I16" s="1">
        <v>14.4</v>
      </c>
      <c r="J16" s="1">
        <v>64.400000000000006</v>
      </c>
      <c r="K16" s="1">
        <v>75.599999999999994</v>
      </c>
      <c r="L16" s="1">
        <v>13.5</v>
      </c>
      <c r="M16" s="1">
        <v>29.7</v>
      </c>
      <c r="N16" s="1">
        <v>11.7</v>
      </c>
      <c r="O16" s="1">
        <v>19</v>
      </c>
      <c r="P16" s="1">
        <v>27.6</v>
      </c>
      <c r="Q16" s="1">
        <f t="shared" si="0"/>
        <v>37.574666666666666</v>
      </c>
      <c r="R16" s="1"/>
    </row>
    <row r="17" spans="1:18" x14ac:dyDescent="0.25">
      <c r="A17">
        <v>1986</v>
      </c>
      <c r="B17" s="1">
        <v>22</v>
      </c>
      <c r="C17" s="1">
        <v>28</v>
      </c>
      <c r="D17" s="1">
        <v>17.100000000000001</v>
      </c>
      <c r="E17" s="1">
        <v>21</v>
      </c>
      <c r="F17" s="1">
        <v>9.6</v>
      </c>
      <c r="G17" s="1">
        <v>20</v>
      </c>
      <c r="H17" s="1">
        <v>30</v>
      </c>
      <c r="I17" s="1">
        <v>14.4</v>
      </c>
      <c r="J17" s="1">
        <v>25.5</v>
      </c>
      <c r="K17" s="1">
        <v>17.100000000000001</v>
      </c>
      <c r="L17" s="1">
        <v>18</v>
      </c>
      <c r="M17" s="1">
        <v>19</v>
      </c>
      <c r="N17" s="1">
        <v>12.6</v>
      </c>
      <c r="O17" s="1">
        <v>14</v>
      </c>
      <c r="P17" s="1">
        <v>10.199999999999999</v>
      </c>
      <c r="Q17" s="1">
        <f t="shared" si="0"/>
        <v>18.566666666666663</v>
      </c>
      <c r="R17" s="1"/>
    </row>
    <row r="18" spans="1:18" x14ac:dyDescent="0.25">
      <c r="A18">
        <v>1987</v>
      </c>
      <c r="B18" s="1">
        <v>0</v>
      </c>
      <c r="C18" s="1">
        <v>73</v>
      </c>
      <c r="D18" s="1">
        <v>20</v>
      </c>
      <c r="E18" s="1">
        <v>13</v>
      </c>
      <c r="F18" s="1">
        <v>67</v>
      </c>
      <c r="G18" s="1">
        <v>16</v>
      </c>
      <c r="H18" s="1">
        <v>13</v>
      </c>
      <c r="I18" s="1">
        <v>0</v>
      </c>
      <c r="J18" s="1">
        <v>13</v>
      </c>
      <c r="K18" s="1">
        <v>18</v>
      </c>
      <c r="L18" s="1">
        <v>0</v>
      </c>
      <c r="M18" s="1">
        <v>0</v>
      </c>
      <c r="N18" s="1">
        <v>0</v>
      </c>
      <c r="O18" s="1">
        <v>0</v>
      </c>
      <c r="P18" s="1">
        <v>30</v>
      </c>
      <c r="Q18" s="1">
        <f t="shared" si="0"/>
        <v>17.533333333333335</v>
      </c>
      <c r="R18" s="1"/>
    </row>
    <row r="19" spans="1:18" x14ac:dyDescent="0.25">
      <c r="A19">
        <v>1988</v>
      </c>
      <c r="B19" s="1">
        <v>55</v>
      </c>
      <c r="C19" s="1">
        <v>92</v>
      </c>
      <c r="D19" s="1">
        <v>73</v>
      </c>
      <c r="E19" s="1">
        <v>48</v>
      </c>
      <c r="F19" s="1">
        <v>26</v>
      </c>
      <c r="G19" s="1">
        <v>76</v>
      </c>
      <c r="H19" s="1">
        <v>81</v>
      </c>
      <c r="I19" s="1">
        <v>41</v>
      </c>
      <c r="J19" s="1">
        <v>61</v>
      </c>
      <c r="K19" s="1">
        <v>115</v>
      </c>
      <c r="L19" s="1">
        <v>56</v>
      </c>
      <c r="M19" s="1">
        <v>61</v>
      </c>
      <c r="N19" s="1">
        <v>35</v>
      </c>
      <c r="O19" s="1">
        <v>38</v>
      </c>
      <c r="P19" s="1">
        <v>62</v>
      </c>
      <c r="Q19" s="1">
        <f t="shared" si="0"/>
        <v>61.333333333333336</v>
      </c>
      <c r="R19" s="1"/>
    </row>
    <row r="20" spans="1:18" x14ac:dyDescent="0.25">
      <c r="A20">
        <v>1989</v>
      </c>
      <c r="B20" s="1">
        <v>23</v>
      </c>
      <c r="C20" s="1">
        <v>53</v>
      </c>
      <c r="D20" s="1">
        <v>50</v>
      </c>
      <c r="E20" s="1">
        <v>52</v>
      </c>
      <c r="F20" s="1">
        <v>40</v>
      </c>
      <c r="G20" s="1">
        <v>84</v>
      </c>
      <c r="H20" s="1">
        <v>33</v>
      </c>
      <c r="I20" s="1">
        <v>19</v>
      </c>
      <c r="J20" s="1">
        <v>26</v>
      </c>
      <c r="K20" s="1">
        <v>40</v>
      </c>
      <c r="L20" s="1">
        <v>7</v>
      </c>
      <c r="M20" s="1">
        <v>37</v>
      </c>
      <c r="N20" s="1">
        <v>10</v>
      </c>
      <c r="O20" s="1">
        <v>15</v>
      </c>
      <c r="P20" s="1">
        <v>18</v>
      </c>
      <c r="Q20" s="1">
        <f t="shared" si="0"/>
        <v>33.799999999999997</v>
      </c>
      <c r="R20" s="1"/>
    </row>
    <row r="21" spans="1:18" x14ac:dyDescent="0.25">
      <c r="A21">
        <v>1990</v>
      </c>
      <c r="B21" s="1">
        <v>19</v>
      </c>
      <c r="C21" s="1">
        <v>59</v>
      </c>
      <c r="D21" s="1">
        <v>23</v>
      </c>
      <c r="E21" s="1">
        <v>20</v>
      </c>
      <c r="F21" s="1">
        <v>26</v>
      </c>
      <c r="G21" s="1">
        <v>81</v>
      </c>
      <c r="H21" s="1">
        <v>21</v>
      </c>
      <c r="I21" s="1">
        <v>22</v>
      </c>
      <c r="J21" s="1">
        <v>36</v>
      </c>
      <c r="K21" s="1">
        <v>31</v>
      </c>
      <c r="L21" s="1">
        <v>35</v>
      </c>
      <c r="M21" s="1">
        <v>64</v>
      </c>
      <c r="N21" s="1">
        <v>14</v>
      </c>
      <c r="O21" s="1">
        <v>8</v>
      </c>
      <c r="P21" s="1">
        <v>34</v>
      </c>
      <c r="Q21" s="1">
        <f t="shared" si="0"/>
        <v>32.866666666666667</v>
      </c>
      <c r="R21" s="1"/>
    </row>
    <row r="22" spans="1:18" x14ac:dyDescent="0.25">
      <c r="A22">
        <v>1991</v>
      </c>
      <c r="B22" s="1">
        <v>31</v>
      </c>
      <c r="C22" s="1">
        <v>70</v>
      </c>
      <c r="D22" s="1">
        <v>37</v>
      </c>
      <c r="E22" s="1">
        <v>57</v>
      </c>
      <c r="F22" s="1">
        <v>18</v>
      </c>
      <c r="G22" s="1">
        <v>138</v>
      </c>
      <c r="H22" s="1">
        <v>56</v>
      </c>
      <c r="I22" s="1">
        <v>22</v>
      </c>
      <c r="J22" s="1">
        <v>47</v>
      </c>
      <c r="K22" s="1">
        <v>34</v>
      </c>
      <c r="L22" s="1">
        <v>35</v>
      </c>
      <c r="M22" s="1">
        <v>30</v>
      </c>
      <c r="N22" s="1">
        <v>17</v>
      </c>
      <c r="O22" s="1">
        <v>19</v>
      </c>
      <c r="P22" s="1">
        <v>28</v>
      </c>
      <c r="Q22" s="1">
        <f t="shared" si="0"/>
        <v>42.6</v>
      </c>
      <c r="R22" s="1"/>
    </row>
    <row r="23" spans="1:18" x14ac:dyDescent="0.25">
      <c r="A23">
        <v>1992</v>
      </c>
      <c r="B23" s="1">
        <v>9</v>
      </c>
      <c r="C23" s="1">
        <v>48</v>
      </c>
      <c r="D23" s="1">
        <v>14</v>
      </c>
      <c r="E23" s="1">
        <v>36</v>
      </c>
      <c r="F23" s="1">
        <v>18</v>
      </c>
      <c r="G23" s="1">
        <v>81</v>
      </c>
      <c r="H23" s="1">
        <v>0</v>
      </c>
      <c r="I23" s="1">
        <v>23</v>
      </c>
      <c r="J23" s="1">
        <v>17</v>
      </c>
      <c r="K23" s="1">
        <v>12</v>
      </c>
      <c r="L23" s="1">
        <v>36</v>
      </c>
      <c r="M23" s="1">
        <v>35</v>
      </c>
      <c r="N23" s="1">
        <v>11</v>
      </c>
      <c r="O23" s="1">
        <v>8</v>
      </c>
      <c r="P23" s="1">
        <v>24</v>
      </c>
      <c r="Q23" s="1">
        <f t="shared" si="0"/>
        <v>24.8</v>
      </c>
      <c r="R23" s="1"/>
    </row>
    <row r="24" spans="1:18" x14ac:dyDescent="0.25">
      <c r="A24">
        <v>1993</v>
      </c>
      <c r="B24" s="1">
        <v>0</v>
      </c>
      <c r="C24" s="1">
        <v>49</v>
      </c>
      <c r="D24" s="1">
        <v>11</v>
      </c>
      <c r="E24" s="1">
        <v>20</v>
      </c>
      <c r="F24" s="1">
        <v>60</v>
      </c>
      <c r="G24" s="1">
        <v>60</v>
      </c>
      <c r="H24" s="1">
        <v>20</v>
      </c>
      <c r="I24" s="1">
        <v>11</v>
      </c>
      <c r="J24" s="1">
        <v>29</v>
      </c>
      <c r="K24" s="1">
        <v>13</v>
      </c>
      <c r="L24" s="1">
        <v>0</v>
      </c>
      <c r="M24" s="1">
        <v>23</v>
      </c>
      <c r="N24" s="1">
        <v>0</v>
      </c>
      <c r="O24" s="1">
        <v>0</v>
      </c>
      <c r="P24" s="1">
        <v>31</v>
      </c>
      <c r="Q24" s="1">
        <f t="shared" si="0"/>
        <v>21.8</v>
      </c>
      <c r="R24" s="1"/>
    </row>
    <row r="25" spans="1:18" x14ac:dyDescent="0.25">
      <c r="A25">
        <v>1994</v>
      </c>
      <c r="B25" s="1">
        <v>13</v>
      </c>
      <c r="C25" s="1">
        <v>53</v>
      </c>
      <c r="D25" s="1">
        <v>60</v>
      </c>
      <c r="E25" s="1">
        <v>84</v>
      </c>
      <c r="F25" s="1">
        <v>15</v>
      </c>
      <c r="G25" s="1">
        <v>119</v>
      </c>
      <c r="H25" s="1">
        <v>60</v>
      </c>
      <c r="I25" s="1">
        <v>19</v>
      </c>
      <c r="J25" s="1">
        <v>19</v>
      </c>
      <c r="K25" s="1">
        <v>108</v>
      </c>
      <c r="L25" s="1">
        <v>56</v>
      </c>
      <c r="M25" s="1">
        <v>30</v>
      </c>
      <c r="N25" s="1">
        <v>138</v>
      </c>
      <c r="O25" s="1">
        <v>53</v>
      </c>
      <c r="P25" s="1">
        <v>54</v>
      </c>
      <c r="Q25" s="1">
        <f t="shared" si="0"/>
        <v>58.733333333333334</v>
      </c>
      <c r="R25" s="1"/>
    </row>
    <row r="26" spans="1:18" x14ac:dyDescent="0.25">
      <c r="A26">
        <v>1995</v>
      </c>
      <c r="B26" s="1">
        <v>0</v>
      </c>
      <c r="C26" s="1">
        <v>21</v>
      </c>
      <c r="D26" s="1">
        <v>19</v>
      </c>
      <c r="E26" s="1">
        <v>33</v>
      </c>
      <c r="F26" s="1">
        <v>0</v>
      </c>
      <c r="G26" s="1">
        <v>77</v>
      </c>
      <c r="H26" s="1">
        <v>26</v>
      </c>
      <c r="I26" s="1">
        <v>26</v>
      </c>
      <c r="J26" s="1">
        <v>47</v>
      </c>
      <c r="K26" s="1">
        <v>24</v>
      </c>
      <c r="L26" s="1">
        <v>18</v>
      </c>
      <c r="M26" s="1">
        <v>20</v>
      </c>
      <c r="N26" s="1">
        <v>0</v>
      </c>
      <c r="O26" s="1">
        <v>16</v>
      </c>
      <c r="P26" s="1">
        <v>19</v>
      </c>
      <c r="Q26" s="1">
        <f t="shared" si="0"/>
        <v>23.066666666666666</v>
      </c>
      <c r="R26" s="1"/>
    </row>
    <row r="27" spans="1:18" x14ac:dyDescent="0.25">
      <c r="A27">
        <v>1996</v>
      </c>
      <c r="B27" s="1">
        <v>13</v>
      </c>
      <c r="C27" s="1">
        <v>45</v>
      </c>
      <c r="D27" s="1">
        <v>22</v>
      </c>
      <c r="E27" s="1">
        <v>36</v>
      </c>
      <c r="F27" s="1">
        <v>0</v>
      </c>
      <c r="G27" s="1">
        <v>92</v>
      </c>
      <c r="H27" s="1">
        <v>33</v>
      </c>
      <c r="I27" s="1">
        <v>31</v>
      </c>
      <c r="J27" s="1">
        <v>32</v>
      </c>
      <c r="K27" s="1">
        <v>26</v>
      </c>
      <c r="L27" s="1">
        <v>11</v>
      </c>
      <c r="M27" s="1">
        <v>30</v>
      </c>
      <c r="N27" s="1">
        <v>15</v>
      </c>
      <c r="O27" s="1">
        <v>25</v>
      </c>
      <c r="P27" s="1">
        <v>13</v>
      </c>
      <c r="Q27" s="1">
        <f t="shared" si="0"/>
        <v>28.266666666666666</v>
      </c>
      <c r="R27" s="1"/>
    </row>
    <row r="28" spans="1:18" x14ac:dyDescent="0.25">
      <c r="A28">
        <v>1997</v>
      </c>
      <c r="B28" s="1">
        <v>13</v>
      </c>
      <c r="C28" s="1">
        <v>52</v>
      </c>
      <c r="D28" s="1">
        <v>11</v>
      </c>
      <c r="E28" s="1">
        <v>30</v>
      </c>
      <c r="F28" s="1">
        <v>23</v>
      </c>
      <c r="G28" s="1">
        <v>32</v>
      </c>
      <c r="H28" s="1">
        <v>23</v>
      </c>
      <c r="I28" s="1">
        <v>30</v>
      </c>
      <c r="J28" s="1">
        <v>13</v>
      </c>
      <c r="K28" s="1">
        <v>25</v>
      </c>
      <c r="L28" s="1">
        <v>48</v>
      </c>
      <c r="M28" s="1">
        <v>29</v>
      </c>
      <c r="N28" s="1">
        <v>0</v>
      </c>
      <c r="O28" s="1">
        <v>20</v>
      </c>
      <c r="P28" s="1">
        <v>32</v>
      </c>
      <c r="Q28" s="1">
        <f t="shared" si="0"/>
        <v>25.4</v>
      </c>
      <c r="R28" s="1"/>
    </row>
    <row r="29" spans="1:18" x14ac:dyDescent="0.25">
      <c r="A29">
        <v>1998</v>
      </c>
      <c r="B29" s="1">
        <v>23</v>
      </c>
      <c r="C29" s="1">
        <v>58</v>
      </c>
      <c r="D29" s="1">
        <v>20</v>
      </c>
      <c r="E29" s="1">
        <v>37</v>
      </c>
      <c r="F29" s="1">
        <v>40</v>
      </c>
      <c r="G29" s="1">
        <v>76</v>
      </c>
      <c r="H29" s="1">
        <v>63</v>
      </c>
      <c r="I29" s="1">
        <v>32</v>
      </c>
      <c r="J29" s="1">
        <v>28</v>
      </c>
      <c r="K29" s="1">
        <v>61</v>
      </c>
      <c r="L29" s="1">
        <v>42</v>
      </c>
      <c r="M29" s="1">
        <v>46</v>
      </c>
      <c r="N29" s="1">
        <v>19</v>
      </c>
      <c r="O29" s="1">
        <v>20</v>
      </c>
      <c r="P29" s="1">
        <v>24</v>
      </c>
      <c r="Q29" s="1">
        <f t="shared" si="0"/>
        <v>39.266666666666666</v>
      </c>
      <c r="R29" s="1"/>
    </row>
    <row r="30" spans="1:18" x14ac:dyDescent="0.25">
      <c r="A30">
        <v>1999</v>
      </c>
      <c r="B30" s="1"/>
      <c r="C30" s="1">
        <v>86</v>
      </c>
      <c r="D30" s="1">
        <v>16</v>
      </c>
      <c r="E30" s="1">
        <v>99</v>
      </c>
      <c r="F30" s="1">
        <v>42</v>
      </c>
      <c r="G30" s="1">
        <v>0</v>
      </c>
      <c r="H30" s="1">
        <v>19</v>
      </c>
      <c r="I30" s="1">
        <v>0</v>
      </c>
      <c r="J30" s="1">
        <v>0</v>
      </c>
      <c r="K30" s="1">
        <v>5</v>
      </c>
      <c r="L30" s="1">
        <v>40</v>
      </c>
      <c r="M30" s="1">
        <v>0</v>
      </c>
      <c r="N30" s="1">
        <v>12</v>
      </c>
      <c r="O30" s="1">
        <v>34</v>
      </c>
      <c r="P30" s="1">
        <v>11</v>
      </c>
      <c r="Q30" s="1">
        <f t="shared" si="0"/>
        <v>26</v>
      </c>
      <c r="R30" s="1"/>
    </row>
    <row r="31" spans="1:18" x14ac:dyDescent="0.25">
      <c r="A31">
        <v>2000</v>
      </c>
      <c r="B31" s="1"/>
      <c r="C31" s="1">
        <v>55</v>
      </c>
      <c r="D31" s="1">
        <v>11</v>
      </c>
      <c r="E31" s="1">
        <v>17</v>
      </c>
      <c r="F31" s="1">
        <v>9</v>
      </c>
      <c r="G31" s="1">
        <v>20</v>
      </c>
      <c r="H31" s="1">
        <v>14</v>
      </c>
      <c r="I31" s="1">
        <v>13</v>
      </c>
      <c r="J31" s="1">
        <v>20</v>
      </c>
      <c r="K31" s="1">
        <v>7</v>
      </c>
      <c r="L31" s="1">
        <v>0</v>
      </c>
      <c r="M31" s="1">
        <v>15</v>
      </c>
      <c r="N31" s="1">
        <v>0</v>
      </c>
      <c r="O31" s="1">
        <v>0</v>
      </c>
      <c r="P31" s="1">
        <v>13</v>
      </c>
      <c r="Q31" s="1">
        <f t="shared" si="0"/>
        <v>13.857142857142858</v>
      </c>
      <c r="R31" s="1"/>
    </row>
    <row r="32" spans="1:18" x14ac:dyDescent="0.25">
      <c r="A32">
        <v>2001</v>
      </c>
      <c r="B32" s="1"/>
      <c r="C32" s="1">
        <v>51</v>
      </c>
      <c r="D32" s="1">
        <v>14</v>
      </c>
      <c r="E32" s="1">
        <v>22</v>
      </c>
      <c r="F32" s="1">
        <v>6</v>
      </c>
      <c r="G32" s="1">
        <v>42</v>
      </c>
      <c r="H32" s="1">
        <v>9</v>
      </c>
      <c r="I32" s="1">
        <v>0</v>
      </c>
      <c r="J32" s="1">
        <v>20</v>
      </c>
      <c r="K32" s="1">
        <v>18</v>
      </c>
      <c r="L32" s="1">
        <v>20</v>
      </c>
      <c r="M32" s="1">
        <v>11</v>
      </c>
      <c r="N32" s="1">
        <v>21</v>
      </c>
      <c r="O32" s="1">
        <v>10</v>
      </c>
      <c r="P32" s="1">
        <v>34</v>
      </c>
      <c r="Q32" s="1">
        <f t="shared" si="0"/>
        <v>19.857142857142858</v>
      </c>
      <c r="R32" s="1"/>
    </row>
    <row r="33" spans="1:18" x14ac:dyDescent="0.25">
      <c r="A33">
        <v>2002</v>
      </c>
      <c r="B33" s="1"/>
      <c r="C33" s="1">
        <v>53</v>
      </c>
      <c r="D33" s="1">
        <v>24</v>
      </c>
      <c r="E33" s="1">
        <v>23</v>
      </c>
      <c r="F33" s="1">
        <v>12</v>
      </c>
      <c r="G33" s="1">
        <v>48</v>
      </c>
      <c r="H33" s="1">
        <v>23</v>
      </c>
      <c r="I33" s="1">
        <v>0</v>
      </c>
      <c r="J33" s="1">
        <v>25</v>
      </c>
      <c r="K33" s="1">
        <v>22</v>
      </c>
      <c r="L33" s="1">
        <v>11</v>
      </c>
      <c r="M33" s="1">
        <v>7</v>
      </c>
      <c r="N33" s="1">
        <v>0</v>
      </c>
      <c r="O33" s="1">
        <v>0</v>
      </c>
      <c r="P33" s="1">
        <v>20</v>
      </c>
      <c r="Q33" s="1">
        <f t="shared" si="0"/>
        <v>19.142857142857142</v>
      </c>
      <c r="R33" s="1"/>
    </row>
    <row r="34" spans="1:18" x14ac:dyDescent="0.25">
      <c r="A34">
        <v>2003</v>
      </c>
      <c r="B34" s="1"/>
      <c r="C34" s="1">
        <v>65</v>
      </c>
      <c r="D34" s="1">
        <v>26</v>
      </c>
      <c r="E34" s="1">
        <v>37</v>
      </c>
      <c r="F34" s="1">
        <v>20</v>
      </c>
      <c r="G34" s="1">
        <v>53</v>
      </c>
      <c r="H34" s="1">
        <v>21</v>
      </c>
      <c r="I34" s="1">
        <v>55</v>
      </c>
      <c r="J34" s="1">
        <v>31</v>
      </c>
      <c r="K34" s="1">
        <v>25</v>
      </c>
      <c r="L34" s="1">
        <v>76</v>
      </c>
      <c r="M34" s="1">
        <v>40</v>
      </c>
      <c r="N34" s="1">
        <v>25</v>
      </c>
      <c r="O34" s="1">
        <v>39</v>
      </c>
      <c r="P34" s="1">
        <v>26</v>
      </c>
      <c r="Q34" s="1">
        <f t="shared" si="0"/>
        <v>38.5</v>
      </c>
      <c r="R34" s="1"/>
    </row>
    <row r="35" spans="1:18" x14ac:dyDescent="0.25">
      <c r="A35">
        <v>2004</v>
      </c>
      <c r="B35" s="1"/>
      <c r="C35" s="1">
        <v>23</v>
      </c>
      <c r="D35" s="1">
        <v>10</v>
      </c>
      <c r="E35" s="1">
        <v>25</v>
      </c>
      <c r="F35" s="1">
        <v>15</v>
      </c>
      <c r="G35" s="1">
        <v>22</v>
      </c>
      <c r="H35" s="1">
        <v>11</v>
      </c>
      <c r="I35" s="1">
        <v>15</v>
      </c>
      <c r="J35" s="1">
        <v>17</v>
      </c>
      <c r="K35" s="1">
        <v>1</v>
      </c>
      <c r="L35" s="1">
        <v>0</v>
      </c>
      <c r="M35" s="1">
        <v>12</v>
      </c>
      <c r="N35" s="1">
        <v>0</v>
      </c>
      <c r="O35" s="1">
        <v>10</v>
      </c>
      <c r="P35" s="1">
        <v>0</v>
      </c>
      <c r="Q35" s="1">
        <f t="shared" si="0"/>
        <v>11.5</v>
      </c>
      <c r="R35" s="1"/>
    </row>
    <row r="36" spans="1:18" x14ac:dyDescent="0.25">
      <c r="A36">
        <v>2005</v>
      </c>
      <c r="B36" s="1">
        <v>89</v>
      </c>
      <c r="C36" s="1">
        <v>68</v>
      </c>
      <c r="D36" s="1">
        <v>50</v>
      </c>
      <c r="E36" s="1">
        <v>64</v>
      </c>
      <c r="F36" s="1">
        <v>8</v>
      </c>
      <c r="G36" s="1">
        <v>141</v>
      </c>
      <c r="H36" s="1">
        <v>58</v>
      </c>
      <c r="I36" s="1">
        <v>58</v>
      </c>
      <c r="J36" s="1">
        <v>89</v>
      </c>
      <c r="K36" s="1">
        <v>42</v>
      </c>
      <c r="L36" s="1">
        <v>0</v>
      </c>
      <c r="M36" s="1">
        <v>72</v>
      </c>
      <c r="N36" s="1">
        <v>0</v>
      </c>
      <c r="O36" s="1">
        <v>9</v>
      </c>
      <c r="P36" s="1">
        <v>17</v>
      </c>
      <c r="Q36" s="1">
        <f t="shared" si="0"/>
        <v>51</v>
      </c>
      <c r="R36" s="1"/>
    </row>
    <row r="37" spans="1:18" x14ac:dyDescent="0.25">
      <c r="A37">
        <v>2006</v>
      </c>
      <c r="B37" s="1">
        <v>58</v>
      </c>
      <c r="C37" s="1">
        <v>50</v>
      </c>
      <c r="D37" s="1">
        <v>35</v>
      </c>
      <c r="E37" s="1">
        <v>53</v>
      </c>
      <c r="F37" s="1">
        <v>46</v>
      </c>
      <c r="G37" s="1">
        <v>90</v>
      </c>
      <c r="H37" s="1">
        <v>32</v>
      </c>
      <c r="I37" s="1">
        <v>12</v>
      </c>
      <c r="J37" s="1">
        <v>60</v>
      </c>
      <c r="K37" s="1">
        <v>48</v>
      </c>
      <c r="L37" s="1">
        <v>54</v>
      </c>
      <c r="M37" s="1">
        <v>40</v>
      </c>
      <c r="N37" s="1">
        <v>110</v>
      </c>
      <c r="O37" s="1">
        <v>17</v>
      </c>
      <c r="P37" s="1">
        <v>32</v>
      </c>
      <c r="Q37" s="1">
        <f t="shared" si="0"/>
        <v>49.133333333333333</v>
      </c>
      <c r="R37" s="1"/>
    </row>
    <row r="38" spans="1:18" x14ac:dyDescent="0.25">
      <c r="A38">
        <v>2007</v>
      </c>
      <c r="B38" s="1">
        <v>12</v>
      </c>
      <c r="C38" s="1">
        <v>32</v>
      </c>
      <c r="D38" s="1">
        <v>14</v>
      </c>
      <c r="E38" s="1">
        <v>31</v>
      </c>
      <c r="F38" s="1">
        <v>22</v>
      </c>
      <c r="G38" s="1">
        <v>40</v>
      </c>
      <c r="H38" s="1">
        <v>29</v>
      </c>
      <c r="I38" s="1">
        <v>10</v>
      </c>
      <c r="J38" s="1">
        <v>17</v>
      </c>
      <c r="K38" s="1">
        <v>51</v>
      </c>
      <c r="L38" s="1">
        <v>49</v>
      </c>
      <c r="M38" s="1">
        <v>31</v>
      </c>
      <c r="N38" s="1">
        <v>14</v>
      </c>
      <c r="O38" s="1">
        <v>14</v>
      </c>
      <c r="P38" s="1">
        <v>27</v>
      </c>
      <c r="Q38" s="1">
        <f t="shared" si="0"/>
        <v>26.2</v>
      </c>
      <c r="R38" s="1"/>
    </row>
    <row r="39" spans="1:18" x14ac:dyDescent="0.25">
      <c r="A39">
        <v>2008</v>
      </c>
      <c r="B39" s="1">
        <v>53</v>
      </c>
      <c r="C39" s="1">
        <v>40</v>
      </c>
      <c r="D39" s="1">
        <v>40</v>
      </c>
      <c r="E39" s="1">
        <v>60</v>
      </c>
      <c r="F39" s="1">
        <v>11</v>
      </c>
      <c r="G39" s="1">
        <v>155</v>
      </c>
      <c r="H39" s="1">
        <v>18</v>
      </c>
      <c r="I39" s="1">
        <v>21</v>
      </c>
      <c r="J39" s="1">
        <v>24</v>
      </c>
      <c r="K39" s="1">
        <v>57</v>
      </c>
      <c r="L39" s="1">
        <v>36</v>
      </c>
      <c r="M39" s="1">
        <v>24</v>
      </c>
      <c r="N39" s="1">
        <v>28</v>
      </c>
      <c r="O39" s="1">
        <v>27</v>
      </c>
      <c r="P39" s="1">
        <v>25</v>
      </c>
      <c r="Q39" s="1">
        <f t="shared" si="0"/>
        <v>41.266666666666666</v>
      </c>
      <c r="R39" s="1"/>
    </row>
    <row r="40" spans="1:18" x14ac:dyDescent="0.25">
      <c r="A40">
        <v>2009</v>
      </c>
      <c r="B40" s="1">
        <v>19</v>
      </c>
      <c r="C40" s="1">
        <v>43</v>
      </c>
      <c r="D40" s="1">
        <v>22</v>
      </c>
      <c r="E40" s="1">
        <v>42</v>
      </c>
      <c r="F40" s="1">
        <v>14</v>
      </c>
      <c r="G40" s="1">
        <v>70</v>
      </c>
      <c r="H40" s="1">
        <v>24</v>
      </c>
      <c r="I40" s="1">
        <v>12</v>
      </c>
      <c r="J40" s="1">
        <v>20</v>
      </c>
      <c r="K40" s="1">
        <v>32</v>
      </c>
      <c r="L40" s="1">
        <v>18</v>
      </c>
      <c r="M40" s="1">
        <v>21</v>
      </c>
      <c r="N40" s="1">
        <v>9</v>
      </c>
      <c r="O40" s="1">
        <v>18</v>
      </c>
      <c r="P40" s="1">
        <v>19</v>
      </c>
      <c r="Q40" s="1">
        <f t="shared" si="0"/>
        <v>25.533333333333335</v>
      </c>
      <c r="R40" s="1"/>
    </row>
    <row r="41" spans="1:18" x14ac:dyDescent="0.25">
      <c r="A41">
        <v>2010</v>
      </c>
      <c r="B41" s="1">
        <v>18</v>
      </c>
      <c r="C41" s="1">
        <v>182</v>
      </c>
      <c r="D41" s="1">
        <v>21</v>
      </c>
      <c r="E41" s="1">
        <v>22</v>
      </c>
      <c r="F41" s="1">
        <v>36</v>
      </c>
      <c r="G41" s="1">
        <v>51</v>
      </c>
      <c r="H41" s="1">
        <v>25</v>
      </c>
      <c r="I41" s="1">
        <v>25</v>
      </c>
      <c r="J41" s="1">
        <v>40</v>
      </c>
      <c r="K41" s="1">
        <v>21</v>
      </c>
      <c r="L41" s="1">
        <v>32</v>
      </c>
      <c r="M41" s="1">
        <v>30</v>
      </c>
      <c r="N41" s="1">
        <v>61</v>
      </c>
      <c r="O41" s="1">
        <v>42</v>
      </c>
      <c r="P41" s="1">
        <v>13</v>
      </c>
      <c r="Q41" s="1">
        <f t="shared" si="0"/>
        <v>41.266666666666666</v>
      </c>
      <c r="R41" s="1"/>
    </row>
    <row r="42" spans="1:18" x14ac:dyDescent="0.25">
      <c r="A42">
        <v>2011</v>
      </c>
      <c r="B42" s="1">
        <v>38</v>
      </c>
      <c r="C42" s="1">
        <v>22</v>
      </c>
      <c r="D42" s="1">
        <v>15</v>
      </c>
      <c r="E42" s="1">
        <v>24</v>
      </c>
      <c r="F42" s="1">
        <v>24</v>
      </c>
      <c r="G42" s="1">
        <v>30</v>
      </c>
      <c r="H42" s="1">
        <v>14</v>
      </c>
      <c r="I42" s="1">
        <v>30</v>
      </c>
      <c r="J42" s="1">
        <v>13</v>
      </c>
      <c r="K42" s="1">
        <v>12</v>
      </c>
      <c r="L42" s="1">
        <v>18</v>
      </c>
      <c r="M42" s="1">
        <v>39</v>
      </c>
      <c r="N42" s="1">
        <v>17</v>
      </c>
      <c r="O42" s="1">
        <v>39</v>
      </c>
      <c r="P42" s="1">
        <v>17</v>
      </c>
      <c r="Q42" s="1">
        <f t="shared" si="0"/>
        <v>23.466666666666665</v>
      </c>
      <c r="R42" s="1"/>
    </row>
    <row r="43" spans="1:18" x14ac:dyDescent="0.25">
      <c r="A43">
        <v>2012</v>
      </c>
      <c r="B43" s="1">
        <v>32</v>
      </c>
      <c r="C43" s="1">
        <v>55</v>
      </c>
      <c r="D43" s="1">
        <v>16</v>
      </c>
      <c r="E43" s="1">
        <v>34</v>
      </c>
      <c r="F43" s="1">
        <v>23</v>
      </c>
      <c r="G43" s="1">
        <v>75</v>
      </c>
      <c r="H43" s="1">
        <v>23</v>
      </c>
      <c r="I43" s="1">
        <v>23</v>
      </c>
      <c r="J43" s="1">
        <v>26</v>
      </c>
      <c r="K43" s="1">
        <v>43</v>
      </c>
      <c r="L43" s="1">
        <v>18</v>
      </c>
      <c r="M43" s="1">
        <v>38</v>
      </c>
      <c r="N43" s="1">
        <v>38</v>
      </c>
      <c r="O43" s="1">
        <v>31</v>
      </c>
      <c r="P43" s="1">
        <v>23</v>
      </c>
      <c r="Q43" s="1">
        <f t="shared" si="0"/>
        <v>33.200000000000003</v>
      </c>
      <c r="R43" s="1"/>
    </row>
    <row r="44" spans="1:18" x14ac:dyDescent="0.25">
      <c r="A44">
        <v>2013</v>
      </c>
      <c r="B44" s="1">
        <v>27</v>
      </c>
      <c r="C44" s="1">
        <v>120</v>
      </c>
      <c r="D44" s="1">
        <v>24</v>
      </c>
      <c r="E44" s="1">
        <v>25</v>
      </c>
      <c r="F44" s="1">
        <v>23</v>
      </c>
      <c r="G44" s="1">
        <v>63</v>
      </c>
      <c r="H44" s="1">
        <v>44</v>
      </c>
      <c r="I44" s="1">
        <v>23</v>
      </c>
      <c r="J44" s="1">
        <v>30</v>
      </c>
      <c r="K44" s="1">
        <v>43</v>
      </c>
      <c r="L44" s="1">
        <v>17</v>
      </c>
      <c r="M44" s="1">
        <v>38</v>
      </c>
      <c r="N44" s="1">
        <v>22</v>
      </c>
      <c r="O44" s="1">
        <v>9</v>
      </c>
      <c r="P44" s="1">
        <v>33</v>
      </c>
      <c r="Q44" s="1">
        <f t="shared" si="0"/>
        <v>36.06666666666667</v>
      </c>
      <c r="R44" s="1"/>
    </row>
    <row r="45" spans="1:18" x14ac:dyDescent="0.25">
      <c r="A45">
        <v>2014</v>
      </c>
      <c r="B45" s="1">
        <v>23</v>
      </c>
      <c r="C45" s="1">
        <v>68</v>
      </c>
      <c r="D45" s="1">
        <v>20</v>
      </c>
      <c r="E45" s="1">
        <v>37</v>
      </c>
      <c r="F45" s="1">
        <v>15</v>
      </c>
      <c r="G45" s="1">
        <v>144</v>
      </c>
      <c r="H45" s="1">
        <v>65</v>
      </c>
      <c r="I45" s="1">
        <v>18</v>
      </c>
      <c r="J45" s="1">
        <v>30</v>
      </c>
      <c r="K45" s="1">
        <v>19</v>
      </c>
      <c r="L45" s="1">
        <v>13</v>
      </c>
      <c r="M45" s="1">
        <v>19</v>
      </c>
      <c r="N45" s="1">
        <v>19</v>
      </c>
      <c r="O45" s="1">
        <v>46</v>
      </c>
      <c r="P45" s="1">
        <v>20</v>
      </c>
      <c r="Q45" s="1">
        <f t="shared" si="0"/>
        <v>37.06666666666667</v>
      </c>
      <c r="R45" s="1"/>
    </row>
    <row r="46" spans="1:18" x14ac:dyDescent="0.25">
      <c r="A46">
        <v>2015</v>
      </c>
      <c r="B46" s="1">
        <v>77</v>
      </c>
      <c r="C46" s="1">
        <v>85</v>
      </c>
      <c r="D46" s="1">
        <v>48</v>
      </c>
      <c r="E46" s="1">
        <v>33</v>
      </c>
      <c r="F46" s="1">
        <v>42</v>
      </c>
      <c r="G46" s="1">
        <v>58</v>
      </c>
      <c r="H46" s="1">
        <v>28</v>
      </c>
      <c r="I46" s="1">
        <v>28</v>
      </c>
      <c r="J46" s="1">
        <v>32</v>
      </c>
      <c r="K46" s="1">
        <v>75</v>
      </c>
      <c r="L46" s="1">
        <v>42</v>
      </c>
      <c r="M46" s="1">
        <v>56</v>
      </c>
      <c r="N46" s="1">
        <v>13</v>
      </c>
      <c r="O46" s="1">
        <v>18</v>
      </c>
      <c r="P46" s="1">
        <v>23</v>
      </c>
      <c r="Q46" s="1">
        <f t="shared" si="0"/>
        <v>43.866666666666667</v>
      </c>
      <c r="R46" s="1"/>
    </row>
    <row r="47" spans="1:18" x14ac:dyDescent="0.25">
      <c r="A47">
        <v>2016</v>
      </c>
      <c r="B47" s="1">
        <v>30</v>
      </c>
      <c r="C47" s="1">
        <v>26</v>
      </c>
      <c r="D47" s="1">
        <v>11</v>
      </c>
      <c r="E47" s="1">
        <v>26</v>
      </c>
      <c r="F47" s="1">
        <v>27</v>
      </c>
      <c r="G47" s="1">
        <v>113</v>
      </c>
      <c r="H47" s="1">
        <v>60</v>
      </c>
      <c r="I47" s="1">
        <v>13</v>
      </c>
      <c r="J47" s="1">
        <v>42</v>
      </c>
      <c r="K47" s="1">
        <v>40</v>
      </c>
      <c r="L47" s="1">
        <v>18</v>
      </c>
      <c r="M47" s="1">
        <v>44</v>
      </c>
      <c r="N47" s="1">
        <v>0</v>
      </c>
      <c r="O47" s="1">
        <v>7</v>
      </c>
      <c r="P47" s="1">
        <v>33</v>
      </c>
      <c r="Q47" s="1">
        <f t="shared" si="0"/>
        <v>32.666666666666664</v>
      </c>
      <c r="R47" s="1"/>
    </row>
    <row r="48" spans="1:18" x14ac:dyDescent="0.25">
      <c r="A48">
        <v>2017</v>
      </c>
      <c r="B48" s="1">
        <v>63</v>
      </c>
      <c r="C48" s="1">
        <v>88</v>
      </c>
      <c r="D48" s="1">
        <v>70</v>
      </c>
      <c r="E48" s="1">
        <v>70</v>
      </c>
      <c r="F48" s="1">
        <v>43</v>
      </c>
      <c r="G48" s="1">
        <v>173</v>
      </c>
      <c r="H48" s="1">
        <v>67</v>
      </c>
      <c r="I48" s="1">
        <v>38</v>
      </c>
      <c r="J48" s="1">
        <v>35</v>
      </c>
      <c r="K48" s="1">
        <v>63</v>
      </c>
      <c r="L48" s="1">
        <v>20</v>
      </c>
      <c r="M48" s="1">
        <v>31</v>
      </c>
      <c r="N48" s="1">
        <v>13</v>
      </c>
      <c r="O48" s="1">
        <v>21</v>
      </c>
      <c r="P48" s="1">
        <v>21</v>
      </c>
      <c r="Q48" s="1">
        <f t="shared" si="0"/>
        <v>54.4</v>
      </c>
      <c r="R48" s="1"/>
    </row>
    <row r="49" spans="1:18" x14ac:dyDescent="0.25">
      <c r="A49">
        <v>2018</v>
      </c>
      <c r="B49" s="1">
        <v>57</v>
      </c>
      <c r="C49" s="1">
        <v>66</v>
      </c>
      <c r="D49" s="1">
        <v>27</v>
      </c>
      <c r="E49" s="1">
        <v>50</v>
      </c>
      <c r="F49" s="1">
        <v>34</v>
      </c>
      <c r="G49" s="1">
        <v>76</v>
      </c>
      <c r="H49" s="1">
        <v>42</v>
      </c>
      <c r="I49" s="1">
        <v>60</v>
      </c>
      <c r="J49" s="1">
        <v>41</v>
      </c>
      <c r="K49" s="1">
        <v>58</v>
      </c>
      <c r="L49" s="1">
        <v>15</v>
      </c>
      <c r="M49" s="1">
        <v>69</v>
      </c>
      <c r="N49" s="1">
        <v>13</v>
      </c>
      <c r="O49" s="1">
        <v>10</v>
      </c>
      <c r="P49" s="1">
        <v>13</v>
      </c>
      <c r="Q49" s="1">
        <f t="shared" si="0"/>
        <v>42.06666666666667</v>
      </c>
      <c r="R49" s="1"/>
    </row>
    <row r="50" spans="1:18" x14ac:dyDescent="0.25">
      <c r="A50">
        <v>2019</v>
      </c>
      <c r="B50" s="1">
        <v>23</v>
      </c>
      <c r="C50" s="1">
        <v>40</v>
      </c>
      <c r="D50" s="1">
        <v>53</v>
      </c>
      <c r="E50" s="1">
        <v>24</v>
      </c>
      <c r="F50" s="1">
        <v>16</v>
      </c>
      <c r="G50" s="1">
        <v>32</v>
      </c>
      <c r="H50" s="1">
        <v>14</v>
      </c>
      <c r="I50" s="1">
        <v>30</v>
      </c>
      <c r="J50" s="1">
        <v>34</v>
      </c>
      <c r="K50" s="1">
        <v>74</v>
      </c>
      <c r="L50" s="1">
        <v>11</v>
      </c>
      <c r="M50" s="1">
        <v>39</v>
      </c>
      <c r="N50" s="1">
        <v>0</v>
      </c>
      <c r="O50" s="1">
        <v>0</v>
      </c>
      <c r="P50" s="1">
        <v>41</v>
      </c>
      <c r="Q50" s="1">
        <f t="shared" si="0"/>
        <v>28.733333333333334</v>
      </c>
      <c r="R50" s="1"/>
    </row>
    <row r="51" spans="1:18" x14ac:dyDescent="0.25">
      <c r="A51">
        <v>2020</v>
      </c>
      <c r="B51" s="1">
        <v>9</v>
      </c>
      <c r="C51" s="1">
        <v>75</v>
      </c>
      <c r="D51" s="1">
        <v>21</v>
      </c>
      <c r="E51" s="1">
        <v>33</v>
      </c>
      <c r="F51" s="1">
        <v>13</v>
      </c>
      <c r="G51" s="1">
        <v>38</v>
      </c>
      <c r="H51" s="1">
        <v>35</v>
      </c>
      <c r="I51" s="1">
        <v>0</v>
      </c>
      <c r="J51" s="1">
        <v>15</v>
      </c>
      <c r="K51" s="1">
        <v>32</v>
      </c>
      <c r="L51" s="1">
        <v>10</v>
      </c>
      <c r="M51" s="1">
        <v>10</v>
      </c>
      <c r="N51" s="1">
        <v>19</v>
      </c>
      <c r="O51" s="1">
        <v>12</v>
      </c>
      <c r="P51" s="1">
        <v>41</v>
      </c>
      <c r="Q51" s="1">
        <f t="shared" si="0"/>
        <v>24.2</v>
      </c>
      <c r="R51" s="1"/>
    </row>
    <row r="52" spans="1:18" x14ac:dyDescent="0.25">
      <c r="A52">
        <v>2021</v>
      </c>
      <c r="B52" s="1">
        <v>42</v>
      </c>
      <c r="C52" s="1">
        <v>78</v>
      </c>
      <c r="D52" s="1">
        <v>12</v>
      </c>
      <c r="E52" s="1">
        <v>37</v>
      </c>
      <c r="F52" s="1">
        <v>29</v>
      </c>
      <c r="G52" s="1">
        <v>30</v>
      </c>
      <c r="H52" s="1">
        <v>14</v>
      </c>
      <c r="I52" s="1">
        <v>12</v>
      </c>
      <c r="J52" s="1">
        <v>17</v>
      </c>
      <c r="K52" s="1">
        <v>38</v>
      </c>
      <c r="L52" s="1">
        <v>10</v>
      </c>
      <c r="M52" s="1">
        <v>22</v>
      </c>
      <c r="N52" s="1">
        <v>20</v>
      </c>
      <c r="O52" s="1">
        <v>17</v>
      </c>
      <c r="P52" s="1">
        <v>23</v>
      </c>
      <c r="Q52" s="1">
        <f t="shared" si="0"/>
        <v>26.733333333333334</v>
      </c>
      <c r="R52" s="1"/>
    </row>
    <row r="53" spans="1:18" x14ac:dyDescent="0.25">
      <c r="A53">
        <v>2022</v>
      </c>
      <c r="B53" s="1">
        <v>0</v>
      </c>
      <c r="C53" s="1">
        <v>34</v>
      </c>
      <c r="D53" s="1">
        <v>17</v>
      </c>
      <c r="E53" s="1">
        <v>14</v>
      </c>
      <c r="F53" s="1">
        <v>10</v>
      </c>
      <c r="G53" s="1"/>
      <c r="H53" s="1"/>
      <c r="I53" s="1">
        <v>51</v>
      </c>
      <c r="J53" s="1">
        <v>0</v>
      </c>
      <c r="K53" s="1">
        <v>34</v>
      </c>
      <c r="L53" s="1"/>
      <c r="M53" s="1">
        <v>35</v>
      </c>
      <c r="N53" s="1">
        <v>0</v>
      </c>
      <c r="O53" s="1">
        <v>14</v>
      </c>
      <c r="P53" s="1">
        <v>23</v>
      </c>
      <c r="Q53" s="1">
        <f t="shared" si="0"/>
        <v>19.333333333333332</v>
      </c>
      <c r="R53" s="1"/>
    </row>
    <row r="54" spans="1:18" x14ac:dyDescent="0.25">
      <c r="A54">
        <v>2023</v>
      </c>
      <c r="B54" s="1">
        <v>34</v>
      </c>
      <c r="C54" s="1">
        <v>32</v>
      </c>
      <c r="D54" s="1">
        <v>10</v>
      </c>
      <c r="E54" s="1">
        <v>20</v>
      </c>
      <c r="F54" s="1">
        <v>15</v>
      </c>
      <c r="G54" s="1"/>
      <c r="H54" s="1"/>
      <c r="I54" s="1">
        <v>0</v>
      </c>
      <c r="J54" s="1">
        <v>8</v>
      </c>
      <c r="K54" s="1">
        <v>27</v>
      </c>
      <c r="L54" s="1"/>
      <c r="M54" s="1">
        <v>0</v>
      </c>
      <c r="N54" s="1">
        <v>18</v>
      </c>
      <c r="O54" s="1">
        <v>16</v>
      </c>
      <c r="P54" s="1">
        <v>20</v>
      </c>
      <c r="Q54" s="1">
        <f t="shared" si="0"/>
        <v>16.666666666666668</v>
      </c>
      <c r="R54" s="1"/>
    </row>
    <row r="55" spans="1:18" x14ac:dyDescent="0.25">
      <c r="A55">
        <v>2024</v>
      </c>
      <c r="B55" s="1">
        <v>22</v>
      </c>
      <c r="C55" s="1">
        <v>31</v>
      </c>
      <c r="D55" s="1">
        <v>45</v>
      </c>
      <c r="E55" s="1">
        <v>53</v>
      </c>
      <c r="F55" s="1">
        <v>15</v>
      </c>
      <c r="G55" s="1"/>
      <c r="H55" s="1"/>
      <c r="I55" s="1">
        <v>20</v>
      </c>
      <c r="J55" s="1">
        <v>28</v>
      </c>
      <c r="K55" s="1">
        <v>24</v>
      </c>
      <c r="L55" s="1"/>
      <c r="M55" s="1">
        <v>26</v>
      </c>
      <c r="N55" s="1">
        <v>59</v>
      </c>
      <c r="O55" s="1">
        <v>12</v>
      </c>
      <c r="P55" s="1">
        <v>36</v>
      </c>
      <c r="Q55" s="1">
        <f t="shared" si="0"/>
        <v>30.916666666666668</v>
      </c>
      <c r="R55" s="1"/>
    </row>
    <row r="56" spans="1:18" x14ac:dyDescent="0.25">
      <c r="A56">
        <v>2025</v>
      </c>
      <c r="B56" s="1">
        <v>0</v>
      </c>
      <c r="C56" s="1">
        <v>26</v>
      </c>
      <c r="D56" s="1">
        <v>11</v>
      </c>
      <c r="E56" s="1">
        <v>8</v>
      </c>
      <c r="F56" s="1">
        <v>8</v>
      </c>
      <c r="G56" s="1"/>
      <c r="H56" s="1"/>
      <c r="I56" s="1"/>
      <c r="J56" s="1">
        <v>70</v>
      </c>
      <c r="K56" s="1">
        <v>4</v>
      </c>
      <c r="L56" s="1"/>
      <c r="M56" s="1"/>
      <c r="N56" s="1">
        <v>6</v>
      </c>
      <c r="O56" s="1">
        <v>0</v>
      </c>
      <c r="P56" s="1">
        <v>0</v>
      </c>
      <c r="Q56" s="1">
        <f t="shared" si="0"/>
        <v>13.3</v>
      </c>
      <c r="R56" s="1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6"/>
  <sheetViews>
    <sheetView workbookViewId="0">
      <selection activeCell="M1" sqref="M1"/>
    </sheetView>
  </sheetViews>
  <sheetFormatPr defaultRowHeight="15" x14ac:dyDescent="0.25"/>
  <sheetData>
    <row r="1" spans="1:13" ht="75" x14ac:dyDescent="0.25">
      <c r="B1" t="s">
        <v>96</v>
      </c>
      <c r="C1" t="s">
        <v>97</v>
      </c>
      <c r="D1" t="s">
        <v>98</v>
      </c>
      <c r="E1" t="s">
        <v>99</v>
      </c>
      <c r="F1" t="s">
        <v>100</v>
      </c>
      <c r="G1" t="s">
        <v>101</v>
      </c>
      <c r="H1" t="s">
        <v>102</v>
      </c>
      <c r="I1" t="s">
        <v>103</v>
      </c>
      <c r="J1" t="s">
        <v>104</v>
      </c>
      <c r="K1" t="s">
        <v>105</v>
      </c>
      <c r="L1" t="s">
        <v>106</v>
      </c>
      <c r="M1" s="3" t="s">
        <v>213</v>
      </c>
    </row>
    <row r="2" spans="1:13" x14ac:dyDescent="0.25">
      <c r="A2">
        <v>1971</v>
      </c>
      <c r="B2" s="1"/>
      <c r="C2" s="1">
        <v>12</v>
      </c>
      <c r="D2" s="1">
        <v>225</v>
      </c>
      <c r="E2" s="1">
        <v>315</v>
      </c>
      <c r="F2" s="1">
        <v>49</v>
      </c>
      <c r="G2" s="1">
        <v>104</v>
      </c>
      <c r="H2" s="1">
        <v>88</v>
      </c>
      <c r="I2" s="1"/>
      <c r="J2" s="1">
        <v>255</v>
      </c>
      <c r="K2" s="1">
        <v>81</v>
      </c>
      <c r="L2" s="1">
        <v>41</v>
      </c>
      <c r="M2" s="1">
        <f>AVERAGE(B2:L2)</f>
        <v>130</v>
      </c>
    </row>
    <row r="3" spans="1:13" x14ac:dyDescent="0.25">
      <c r="A3">
        <v>1972</v>
      </c>
      <c r="B3" s="1"/>
      <c r="C3" s="1">
        <v>20</v>
      </c>
      <c r="D3" s="1">
        <v>141</v>
      </c>
      <c r="E3" s="1">
        <v>205</v>
      </c>
      <c r="F3" s="1">
        <v>49</v>
      </c>
      <c r="G3" s="1">
        <v>126</v>
      </c>
      <c r="H3" s="1">
        <v>48</v>
      </c>
      <c r="I3" s="1"/>
      <c r="J3" s="1">
        <v>182</v>
      </c>
      <c r="K3" s="1">
        <v>78</v>
      </c>
      <c r="L3" s="1">
        <v>23</v>
      </c>
      <c r="M3" s="1">
        <f t="shared" ref="M3:M56" si="0">AVERAGE(B3:L3)</f>
        <v>96.888888888888886</v>
      </c>
    </row>
    <row r="4" spans="1:13" x14ac:dyDescent="0.25">
      <c r="A4">
        <v>1973</v>
      </c>
      <c r="B4" s="1"/>
      <c r="C4" s="1">
        <v>16</v>
      </c>
      <c r="D4" s="1">
        <v>160</v>
      </c>
      <c r="E4" s="1">
        <v>205</v>
      </c>
      <c r="F4" s="1">
        <v>44</v>
      </c>
      <c r="G4" s="1">
        <v>135</v>
      </c>
      <c r="H4" s="1">
        <v>48</v>
      </c>
      <c r="I4" s="1"/>
      <c r="J4" s="1">
        <v>176</v>
      </c>
      <c r="K4" s="1">
        <v>42</v>
      </c>
      <c r="L4" s="1">
        <v>40</v>
      </c>
      <c r="M4" s="1">
        <f t="shared" si="0"/>
        <v>96.222222222222229</v>
      </c>
    </row>
    <row r="5" spans="1:13" x14ac:dyDescent="0.25">
      <c r="A5">
        <v>1974</v>
      </c>
      <c r="B5" s="1"/>
      <c r="C5" s="1">
        <v>20</v>
      </c>
      <c r="D5" s="1">
        <v>92</v>
      </c>
      <c r="E5" s="1">
        <v>169</v>
      </c>
      <c r="F5" s="1">
        <v>29</v>
      </c>
      <c r="G5" s="1">
        <v>76</v>
      </c>
      <c r="H5" s="1">
        <v>27</v>
      </c>
      <c r="I5" s="1"/>
      <c r="J5" s="1">
        <v>128</v>
      </c>
      <c r="K5" s="1">
        <v>70</v>
      </c>
      <c r="L5" s="1">
        <v>20</v>
      </c>
      <c r="M5" s="1">
        <f t="shared" si="0"/>
        <v>70.111111111111114</v>
      </c>
    </row>
    <row r="6" spans="1:13" x14ac:dyDescent="0.25">
      <c r="A6">
        <v>1975</v>
      </c>
      <c r="B6" s="1"/>
      <c r="C6" s="1">
        <v>19</v>
      </c>
      <c r="D6" s="1">
        <v>209</v>
      </c>
      <c r="E6" s="1">
        <v>210</v>
      </c>
      <c r="F6" s="1">
        <v>40</v>
      </c>
      <c r="G6" s="1">
        <v>154</v>
      </c>
      <c r="H6" s="1">
        <v>38</v>
      </c>
      <c r="I6" s="1"/>
      <c r="J6" s="1">
        <v>202</v>
      </c>
      <c r="K6" s="1">
        <v>24</v>
      </c>
      <c r="L6" s="1">
        <v>12</v>
      </c>
      <c r="M6" s="1">
        <f t="shared" si="0"/>
        <v>100.88888888888889</v>
      </c>
    </row>
    <row r="7" spans="1:13" x14ac:dyDescent="0.25">
      <c r="A7">
        <v>1976</v>
      </c>
      <c r="B7" s="1"/>
      <c r="C7" s="1">
        <v>18</v>
      </c>
      <c r="D7" s="1">
        <v>101</v>
      </c>
      <c r="E7" s="1">
        <v>143</v>
      </c>
      <c r="F7" s="1">
        <v>46</v>
      </c>
      <c r="G7" s="1">
        <v>144</v>
      </c>
      <c r="H7" s="1">
        <v>28</v>
      </c>
      <c r="I7" s="1"/>
      <c r="J7" s="1">
        <v>135</v>
      </c>
      <c r="K7" s="1">
        <v>12</v>
      </c>
      <c r="L7" s="1">
        <v>24</v>
      </c>
      <c r="M7" s="1">
        <f t="shared" si="0"/>
        <v>72.333333333333329</v>
      </c>
    </row>
    <row r="8" spans="1:13" x14ac:dyDescent="0.25">
      <c r="A8">
        <v>1977</v>
      </c>
      <c r="B8" s="1"/>
      <c r="C8" s="1">
        <v>32</v>
      </c>
      <c r="D8" s="1">
        <v>214</v>
      </c>
      <c r="E8" s="1">
        <v>262</v>
      </c>
      <c r="F8" s="1">
        <v>50</v>
      </c>
      <c r="G8" s="1">
        <v>120</v>
      </c>
      <c r="H8" s="1">
        <v>62</v>
      </c>
      <c r="I8" s="1"/>
      <c r="J8" s="1">
        <v>180</v>
      </c>
      <c r="K8" s="1">
        <v>71</v>
      </c>
      <c r="L8" s="1">
        <v>37</v>
      </c>
      <c r="M8" s="1">
        <f t="shared" si="0"/>
        <v>114.22222222222223</v>
      </c>
    </row>
    <row r="9" spans="1:13" x14ac:dyDescent="0.25">
      <c r="A9">
        <v>1978</v>
      </c>
      <c r="B9" s="1"/>
      <c r="C9" s="1">
        <v>27.2</v>
      </c>
      <c r="D9" s="1">
        <v>146.19999999999999</v>
      </c>
      <c r="E9" s="1">
        <v>139.19999999999999</v>
      </c>
      <c r="F9" s="1">
        <v>45</v>
      </c>
      <c r="G9" s="1">
        <v>108</v>
      </c>
      <c r="H9" s="1">
        <v>36.799999999999997</v>
      </c>
      <c r="I9" s="1"/>
      <c r="J9" s="1">
        <v>170.1</v>
      </c>
      <c r="K9" s="1">
        <v>57.5</v>
      </c>
      <c r="L9" s="1">
        <v>32.299999999999997</v>
      </c>
      <c r="M9" s="1">
        <f t="shared" si="0"/>
        <v>84.699999999999989</v>
      </c>
    </row>
    <row r="10" spans="1:13" x14ac:dyDescent="0.25">
      <c r="A10">
        <v>1979</v>
      </c>
      <c r="B10" s="1"/>
      <c r="C10" s="1">
        <v>9.6</v>
      </c>
      <c r="D10" s="1">
        <v>142.6</v>
      </c>
      <c r="E10" s="1">
        <v>166.4</v>
      </c>
      <c r="F10" s="1">
        <v>43.2</v>
      </c>
      <c r="G10" s="1">
        <v>148.80000000000001</v>
      </c>
      <c r="H10" s="1">
        <v>28</v>
      </c>
      <c r="I10" s="1"/>
      <c r="J10" s="1">
        <v>179.4</v>
      </c>
      <c r="K10" s="1">
        <v>0</v>
      </c>
      <c r="L10" s="1">
        <v>16.899999999999999</v>
      </c>
      <c r="M10" s="1">
        <f t="shared" si="0"/>
        <v>81.655555555555551</v>
      </c>
    </row>
    <row r="11" spans="1:13" x14ac:dyDescent="0.25">
      <c r="A11">
        <v>1980</v>
      </c>
      <c r="B11" s="1"/>
      <c r="C11" s="1">
        <v>0</v>
      </c>
      <c r="D11" s="1">
        <v>95</v>
      </c>
      <c r="E11" s="1">
        <v>159.5</v>
      </c>
      <c r="F11" s="1">
        <v>25.6</v>
      </c>
      <c r="G11" s="1">
        <v>138.6</v>
      </c>
      <c r="H11" s="1">
        <v>22.1</v>
      </c>
      <c r="I11" s="1"/>
      <c r="J11" s="1">
        <v>148.5</v>
      </c>
      <c r="K11" s="1">
        <v>0</v>
      </c>
      <c r="L11" s="1">
        <v>19.8</v>
      </c>
      <c r="M11" s="1">
        <f t="shared" si="0"/>
        <v>67.677777777777777</v>
      </c>
    </row>
    <row r="12" spans="1:13" x14ac:dyDescent="0.25">
      <c r="A12">
        <v>1981</v>
      </c>
      <c r="B12" s="1"/>
      <c r="C12" s="1">
        <v>0</v>
      </c>
      <c r="D12" s="1">
        <v>109.2</v>
      </c>
      <c r="E12" s="1">
        <v>140</v>
      </c>
      <c r="F12" s="1">
        <v>19</v>
      </c>
      <c r="G12" s="1">
        <v>183</v>
      </c>
      <c r="H12" s="1">
        <v>24</v>
      </c>
      <c r="I12" s="1"/>
      <c r="J12" s="1">
        <v>163.19999999999999</v>
      </c>
      <c r="K12" s="1">
        <v>25</v>
      </c>
      <c r="L12" s="1">
        <v>19.5</v>
      </c>
      <c r="M12" s="1">
        <f t="shared" si="0"/>
        <v>75.87777777777778</v>
      </c>
    </row>
    <row r="13" spans="1:13" x14ac:dyDescent="0.25">
      <c r="A13">
        <v>1982</v>
      </c>
      <c r="B13" s="1"/>
      <c r="C13" s="1">
        <v>9.6</v>
      </c>
      <c r="D13" s="1">
        <v>96.6</v>
      </c>
      <c r="E13" s="1">
        <v>132</v>
      </c>
      <c r="F13" s="1">
        <v>30.4</v>
      </c>
      <c r="G13" s="1">
        <v>115.5</v>
      </c>
      <c r="H13" s="1">
        <v>20</v>
      </c>
      <c r="I13" s="1"/>
      <c r="J13" s="1">
        <v>147</v>
      </c>
      <c r="K13" s="1">
        <v>34</v>
      </c>
      <c r="L13" s="1">
        <v>20</v>
      </c>
      <c r="M13" s="1">
        <f t="shared" si="0"/>
        <v>67.23333333333332</v>
      </c>
    </row>
    <row r="14" spans="1:13" x14ac:dyDescent="0.25">
      <c r="A14">
        <v>1983</v>
      </c>
      <c r="B14" s="1"/>
      <c r="C14" s="1">
        <v>0</v>
      </c>
      <c r="D14" s="1">
        <v>57.6</v>
      </c>
      <c r="E14" s="1">
        <v>78</v>
      </c>
      <c r="F14" s="1">
        <v>39.1</v>
      </c>
      <c r="G14" s="1">
        <v>117</v>
      </c>
      <c r="H14" s="1">
        <v>14</v>
      </c>
      <c r="I14" s="1"/>
      <c r="J14" s="1">
        <v>96.6</v>
      </c>
      <c r="K14" s="1">
        <v>14.4</v>
      </c>
      <c r="L14" s="1">
        <v>33</v>
      </c>
      <c r="M14" s="1">
        <f t="shared" si="0"/>
        <v>49.966666666666661</v>
      </c>
    </row>
    <row r="15" spans="1:13" x14ac:dyDescent="0.25">
      <c r="A15">
        <v>1984</v>
      </c>
      <c r="B15" s="1"/>
      <c r="C15" s="1">
        <v>22.5</v>
      </c>
      <c r="D15" s="1">
        <v>41.4</v>
      </c>
      <c r="E15" s="1">
        <v>91.2</v>
      </c>
      <c r="F15" s="1">
        <v>26.6</v>
      </c>
      <c r="G15" s="1">
        <v>160.80000000000001</v>
      </c>
      <c r="H15" s="1">
        <v>6</v>
      </c>
      <c r="I15" s="1"/>
      <c r="J15" s="1">
        <v>116.6</v>
      </c>
      <c r="K15" s="1">
        <v>18</v>
      </c>
      <c r="L15" s="1">
        <v>27.2</v>
      </c>
      <c r="M15" s="1">
        <f t="shared" si="0"/>
        <v>56.7</v>
      </c>
    </row>
    <row r="16" spans="1:13" x14ac:dyDescent="0.25">
      <c r="A16">
        <v>1985</v>
      </c>
      <c r="B16" s="1"/>
      <c r="C16" s="1">
        <v>15.3</v>
      </c>
      <c r="D16" s="1">
        <v>172</v>
      </c>
      <c r="E16" s="1">
        <v>202.8</v>
      </c>
      <c r="F16" s="1">
        <v>52.8</v>
      </c>
      <c r="G16" s="1">
        <v>237.5</v>
      </c>
      <c r="H16" s="1">
        <v>34</v>
      </c>
      <c r="I16" s="1"/>
      <c r="J16" s="1">
        <v>243</v>
      </c>
      <c r="K16" s="1">
        <v>20</v>
      </c>
      <c r="L16" s="1">
        <v>34.200000000000003</v>
      </c>
      <c r="M16" s="1">
        <f t="shared" si="0"/>
        <v>112.40000000000002</v>
      </c>
    </row>
    <row r="17" spans="1:13" x14ac:dyDescent="0.25">
      <c r="A17">
        <v>1986</v>
      </c>
      <c r="B17" s="1"/>
      <c r="C17" s="1">
        <v>20</v>
      </c>
      <c r="D17" s="1">
        <v>88</v>
      </c>
      <c r="E17" s="1">
        <v>161</v>
      </c>
      <c r="F17" s="1">
        <v>20</v>
      </c>
      <c r="G17" s="1">
        <v>172</v>
      </c>
      <c r="H17" s="1">
        <v>21.6</v>
      </c>
      <c r="I17" s="1"/>
      <c r="J17" s="1">
        <v>155</v>
      </c>
      <c r="K17" s="1">
        <v>17</v>
      </c>
      <c r="L17" s="1">
        <v>20.399999999999999</v>
      </c>
      <c r="M17" s="1">
        <f t="shared" si="0"/>
        <v>75</v>
      </c>
    </row>
    <row r="18" spans="1:13" x14ac:dyDescent="0.25">
      <c r="A18">
        <v>1987</v>
      </c>
      <c r="B18" s="1"/>
      <c r="C18" s="1">
        <v>20</v>
      </c>
      <c r="D18" s="1">
        <v>176</v>
      </c>
      <c r="E18" s="1">
        <v>183</v>
      </c>
      <c r="F18" s="1">
        <v>12</v>
      </c>
      <c r="G18" s="1">
        <v>317</v>
      </c>
      <c r="H18" s="1">
        <v>22</v>
      </c>
      <c r="I18" s="1"/>
      <c r="J18" s="1">
        <v>229</v>
      </c>
      <c r="K18" s="1">
        <v>20</v>
      </c>
      <c r="L18" s="1">
        <v>14</v>
      </c>
      <c r="M18" s="1">
        <f t="shared" si="0"/>
        <v>110.33333333333333</v>
      </c>
    </row>
    <row r="19" spans="1:13" x14ac:dyDescent="0.25">
      <c r="A19">
        <v>1988</v>
      </c>
      <c r="B19" s="1"/>
      <c r="C19" s="1">
        <v>60</v>
      </c>
      <c r="D19" s="1">
        <v>232</v>
      </c>
      <c r="E19" s="1">
        <v>299</v>
      </c>
      <c r="F19" s="1">
        <v>70</v>
      </c>
      <c r="G19" s="1">
        <v>267</v>
      </c>
      <c r="H19" s="1">
        <v>59</v>
      </c>
      <c r="I19" s="1"/>
      <c r="J19" s="1">
        <v>262</v>
      </c>
      <c r="K19" s="1">
        <v>65</v>
      </c>
      <c r="L19" s="1">
        <v>66</v>
      </c>
      <c r="M19" s="1">
        <f t="shared" si="0"/>
        <v>153.33333333333334</v>
      </c>
    </row>
    <row r="20" spans="1:13" x14ac:dyDescent="0.25">
      <c r="A20">
        <v>1989</v>
      </c>
      <c r="B20" s="1"/>
      <c r="C20" s="1">
        <v>23</v>
      </c>
      <c r="D20" s="1">
        <v>74</v>
      </c>
      <c r="E20" s="1">
        <v>122</v>
      </c>
      <c r="F20" s="1">
        <v>36</v>
      </c>
      <c r="G20" s="1">
        <v>170</v>
      </c>
      <c r="H20" s="1">
        <v>16</v>
      </c>
      <c r="I20" s="1"/>
      <c r="J20" s="1">
        <v>95</v>
      </c>
      <c r="K20" s="1">
        <v>13</v>
      </c>
      <c r="L20" s="1">
        <v>26</v>
      </c>
      <c r="M20" s="1">
        <f t="shared" si="0"/>
        <v>63.888888888888886</v>
      </c>
    </row>
    <row r="21" spans="1:13" x14ac:dyDescent="0.25">
      <c r="A21">
        <v>1990</v>
      </c>
      <c r="B21" s="1"/>
      <c r="C21" s="1">
        <v>13</v>
      </c>
      <c r="D21" s="1">
        <v>171</v>
      </c>
      <c r="E21" s="1">
        <v>223</v>
      </c>
      <c r="F21" s="1">
        <v>62</v>
      </c>
      <c r="G21" s="1">
        <v>197</v>
      </c>
      <c r="H21" s="1">
        <v>29</v>
      </c>
      <c r="I21" s="1"/>
      <c r="J21" s="1">
        <v>245</v>
      </c>
      <c r="K21" s="1">
        <v>48</v>
      </c>
      <c r="L21" s="1">
        <v>60</v>
      </c>
      <c r="M21" s="1">
        <f t="shared" si="0"/>
        <v>116.44444444444444</v>
      </c>
    </row>
    <row r="22" spans="1:13" x14ac:dyDescent="0.25">
      <c r="A22">
        <v>1991</v>
      </c>
      <c r="B22" s="1"/>
      <c r="C22" s="1">
        <v>26</v>
      </c>
      <c r="D22" s="1">
        <v>122</v>
      </c>
      <c r="E22" s="1">
        <v>197</v>
      </c>
      <c r="F22" s="1">
        <v>40</v>
      </c>
      <c r="G22" s="1">
        <v>137</v>
      </c>
      <c r="H22" s="1">
        <v>31</v>
      </c>
      <c r="I22" s="1"/>
      <c r="J22" s="1">
        <v>140</v>
      </c>
      <c r="K22" s="1">
        <v>59</v>
      </c>
      <c r="L22" s="1">
        <v>42</v>
      </c>
      <c r="M22" s="1">
        <f t="shared" si="0"/>
        <v>88.222222222222229</v>
      </c>
    </row>
    <row r="23" spans="1:13" x14ac:dyDescent="0.25">
      <c r="A23">
        <v>1992</v>
      </c>
      <c r="B23" s="1"/>
      <c r="C23" s="1">
        <v>0</v>
      </c>
      <c r="D23" s="1">
        <v>160</v>
      </c>
      <c r="E23" s="1">
        <v>260</v>
      </c>
      <c r="F23" s="1">
        <v>29</v>
      </c>
      <c r="G23" s="1">
        <v>136</v>
      </c>
      <c r="H23" s="1">
        <v>12</v>
      </c>
      <c r="I23" s="1"/>
      <c r="J23" s="1">
        <v>229</v>
      </c>
      <c r="K23" s="1">
        <v>27</v>
      </c>
      <c r="L23" s="1">
        <v>19</v>
      </c>
      <c r="M23" s="1">
        <f t="shared" si="0"/>
        <v>96.888888888888886</v>
      </c>
    </row>
    <row r="24" spans="1:13" x14ac:dyDescent="0.25">
      <c r="A24">
        <v>1993</v>
      </c>
      <c r="B24" s="1"/>
      <c r="C24" s="1">
        <v>16</v>
      </c>
      <c r="D24" s="1">
        <v>130</v>
      </c>
      <c r="E24" s="1">
        <v>195</v>
      </c>
      <c r="F24" s="1">
        <v>30</v>
      </c>
      <c r="G24" s="1">
        <v>249</v>
      </c>
      <c r="H24" s="1">
        <v>22</v>
      </c>
      <c r="I24" s="1"/>
      <c r="J24" s="1">
        <v>204</v>
      </c>
      <c r="K24" s="1">
        <v>22</v>
      </c>
      <c r="L24" s="1">
        <v>65</v>
      </c>
      <c r="M24" s="1">
        <f t="shared" si="0"/>
        <v>103.66666666666667</v>
      </c>
    </row>
    <row r="25" spans="1:13" x14ac:dyDescent="0.25">
      <c r="A25">
        <v>1994</v>
      </c>
      <c r="B25" s="1"/>
      <c r="C25" s="1">
        <v>34</v>
      </c>
      <c r="D25" s="1">
        <v>131</v>
      </c>
      <c r="E25" s="1">
        <v>236</v>
      </c>
      <c r="F25" s="1">
        <v>94</v>
      </c>
      <c r="G25" s="1">
        <v>215</v>
      </c>
      <c r="H25" s="1">
        <v>62</v>
      </c>
      <c r="I25" s="1"/>
      <c r="J25" s="1">
        <v>149</v>
      </c>
      <c r="K25" s="1">
        <v>108</v>
      </c>
      <c r="L25" s="1">
        <v>50</v>
      </c>
      <c r="M25" s="1">
        <f t="shared" si="0"/>
        <v>119.88888888888889</v>
      </c>
    </row>
    <row r="26" spans="1:13" x14ac:dyDescent="0.25">
      <c r="A26">
        <v>1995</v>
      </c>
      <c r="B26" s="1"/>
      <c r="C26" s="1">
        <v>42</v>
      </c>
      <c r="D26" s="1">
        <v>66</v>
      </c>
      <c r="E26" s="1">
        <v>124</v>
      </c>
      <c r="F26" s="1">
        <v>16</v>
      </c>
      <c r="G26" s="1">
        <v>86</v>
      </c>
      <c r="H26" s="1">
        <v>13</v>
      </c>
      <c r="I26" s="1"/>
      <c r="J26" s="1">
        <v>88</v>
      </c>
      <c r="K26" s="1">
        <v>33</v>
      </c>
      <c r="L26" s="1">
        <v>20</v>
      </c>
      <c r="M26" s="1">
        <f t="shared" si="0"/>
        <v>54.222222222222221</v>
      </c>
    </row>
    <row r="27" spans="1:13" x14ac:dyDescent="0.25">
      <c r="A27">
        <v>1996</v>
      </c>
      <c r="B27" s="1"/>
      <c r="C27" s="1">
        <v>44</v>
      </c>
      <c r="D27" s="1">
        <v>140</v>
      </c>
      <c r="E27" s="1">
        <v>243</v>
      </c>
      <c r="F27" s="1">
        <v>25</v>
      </c>
      <c r="G27" s="1">
        <v>104</v>
      </c>
      <c r="H27" s="1">
        <v>26</v>
      </c>
      <c r="I27" s="1"/>
      <c r="J27" s="1">
        <v>246</v>
      </c>
      <c r="K27" s="1">
        <v>38</v>
      </c>
      <c r="L27" s="1">
        <v>25</v>
      </c>
      <c r="M27" s="1">
        <f t="shared" si="0"/>
        <v>99</v>
      </c>
    </row>
    <row r="28" spans="1:13" x14ac:dyDescent="0.25">
      <c r="A28">
        <v>1997</v>
      </c>
      <c r="B28" s="1"/>
      <c r="C28" s="1">
        <v>33</v>
      </c>
      <c r="D28" s="1">
        <v>477</v>
      </c>
      <c r="E28" s="1">
        <v>271</v>
      </c>
      <c r="F28" s="1">
        <v>59</v>
      </c>
      <c r="G28" s="1">
        <v>141</v>
      </c>
      <c r="H28" s="1">
        <v>36</v>
      </c>
      <c r="I28" s="1"/>
      <c r="J28" s="1">
        <v>283</v>
      </c>
      <c r="K28" s="1">
        <v>76</v>
      </c>
      <c r="L28" s="1">
        <v>46</v>
      </c>
      <c r="M28" s="1">
        <f t="shared" si="0"/>
        <v>158</v>
      </c>
    </row>
    <row r="29" spans="1:13" x14ac:dyDescent="0.25">
      <c r="A29">
        <v>1998</v>
      </c>
      <c r="B29" s="1"/>
      <c r="C29" s="1">
        <v>28</v>
      </c>
      <c r="D29" s="1">
        <v>176</v>
      </c>
      <c r="E29" s="1">
        <v>238</v>
      </c>
      <c r="F29" s="1">
        <v>68</v>
      </c>
      <c r="G29" s="1">
        <v>154</v>
      </c>
      <c r="H29" s="1">
        <v>52</v>
      </c>
      <c r="I29" s="1"/>
      <c r="J29" s="1">
        <v>220</v>
      </c>
      <c r="K29" s="1">
        <v>99</v>
      </c>
      <c r="L29" s="1">
        <v>59</v>
      </c>
      <c r="M29" s="1">
        <f t="shared" si="0"/>
        <v>121.55555555555556</v>
      </c>
    </row>
    <row r="30" spans="1:13" x14ac:dyDescent="0.25">
      <c r="A30">
        <v>1999</v>
      </c>
      <c r="B30" s="1"/>
      <c r="C30" s="1">
        <v>36</v>
      </c>
      <c r="D30" s="1">
        <v>304</v>
      </c>
      <c r="E30" s="1">
        <v>397</v>
      </c>
      <c r="F30" s="1">
        <v>56</v>
      </c>
      <c r="G30" s="1">
        <v>235</v>
      </c>
      <c r="H30" s="1">
        <v>57</v>
      </c>
      <c r="I30" s="1"/>
      <c r="J30" s="1">
        <v>291</v>
      </c>
      <c r="K30" s="1">
        <v>81</v>
      </c>
      <c r="L30" s="1">
        <v>11</v>
      </c>
      <c r="M30" s="1">
        <f t="shared" si="0"/>
        <v>163.11111111111111</v>
      </c>
    </row>
    <row r="31" spans="1:13" x14ac:dyDescent="0.25">
      <c r="A31">
        <v>2000</v>
      </c>
      <c r="B31" s="1"/>
      <c r="C31" s="1">
        <v>12</v>
      </c>
      <c r="D31" s="1">
        <v>166</v>
      </c>
      <c r="E31" s="1">
        <v>315</v>
      </c>
      <c r="F31" s="1">
        <v>39</v>
      </c>
      <c r="G31" s="1">
        <v>175</v>
      </c>
      <c r="H31" s="1">
        <v>52</v>
      </c>
      <c r="I31" s="1"/>
      <c r="J31" s="1">
        <v>211</v>
      </c>
      <c r="K31" s="1">
        <v>74</v>
      </c>
      <c r="L31" s="1">
        <v>48</v>
      </c>
      <c r="M31" s="1">
        <f t="shared" si="0"/>
        <v>121.33333333333333</v>
      </c>
    </row>
    <row r="32" spans="1:13" x14ac:dyDescent="0.25">
      <c r="A32">
        <v>2001</v>
      </c>
      <c r="B32" s="1"/>
      <c r="C32" s="1">
        <v>43</v>
      </c>
      <c r="D32" s="1">
        <v>229</v>
      </c>
      <c r="E32" s="1">
        <v>323</v>
      </c>
      <c r="F32" s="1">
        <v>80</v>
      </c>
      <c r="G32" s="1">
        <v>159</v>
      </c>
      <c r="H32" s="1">
        <v>83</v>
      </c>
      <c r="I32" s="1"/>
      <c r="J32" s="1">
        <v>298</v>
      </c>
      <c r="K32" s="1">
        <v>120</v>
      </c>
      <c r="L32" s="1">
        <v>43</v>
      </c>
      <c r="M32" s="1">
        <f t="shared" si="0"/>
        <v>153.11111111111111</v>
      </c>
    </row>
    <row r="33" spans="1:13" x14ac:dyDescent="0.25">
      <c r="A33">
        <v>2002</v>
      </c>
      <c r="B33" s="1"/>
      <c r="C33" s="1">
        <v>16</v>
      </c>
      <c r="D33" s="1">
        <v>119</v>
      </c>
      <c r="E33" s="1">
        <v>189</v>
      </c>
      <c r="F33" s="1">
        <v>11</v>
      </c>
      <c r="G33" s="1">
        <v>195</v>
      </c>
      <c r="H33" s="1">
        <v>40</v>
      </c>
      <c r="I33" s="1"/>
      <c r="J33" s="1">
        <v>211</v>
      </c>
      <c r="K33" s="1">
        <v>32</v>
      </c>
      <c r="L33" s="1">
        <v>16</v>
      </c>
      <c r="M33" s="1">
        <f t="shared" si="0"/>
        <v>92.111111111111114</v>
      </c>
    </row>
    <row r="34" spans="1:13" x14ac:dyDescent="0.25">
      <c r="A34">
        <v>2003</v>
      </c>
      <c r="B34" s="1"/>
      <c r="C34" s="1">
        <v>12</v>
      </c>
      <c r="D34" s="1">
        <v>213</v>
      </c>
      <c r="E34" s="1">
        <v>261</v>
      </c>
      <c r="F34" s="1">
        <v>75</v>
      </c>
      <c r="G34" s="1">
        <v>203</v>
      </c>
      <c r="H34" s="1">
        <v>46</v>
      </c>
      <c r="I34" s="1"/>
      <c r="J34" s="1">
        <v>228</v>
      </c>
      <c r="K34" s="1">
        <v>118</v>
      </c>
      <c r="L34" s="1">
        <v>52</v>
      </c>
      <c r="M34" s="1">
        <f t="shared" si="0"/>
        <v>134.22222222222223</v>
      </c>
    </row>
    <row r="35" spans="1:13" x14ac:dyDescent="0.25">
      <c r="A35">
        <v>2004</v>
      </c>
      <c r="B35" s="1"/>
      <c r="C35" s="1">
        <v>14</v>
      </c>
      <c r="D35" s="1">
        <v>160</v>
      </c>
      <c r="E35" s="1">
        <v>316</v>
      </c>
      <c r="F35" s="1">
        <v>20</v>
      </c>
      <c r="G35" s="1">
        <v>215</v>
      </c>
      <c r="H35" s="1">
        <v>54</v>
      </c>
      <c r="I35" s="1"/>
      <c r="J35" s="1">
        <v>170</v>
      </c>
      <c r="K35" s="1">
        <v>62</v>
      </c>
      <c r="L35" s="1">
        <v>36</v>
      </c>
      <c r="M35" s="1">
        <f t="shared" si="0"/>
        <v>116.33333333333333</v>
      </c>
    </row>
    <row r="36" spans="1:13" x14ac:dyDescent="0.25">
      <c r="A36">
        <v>2005</v>
      </c>
      <c r="B36" s="1"/>
      <c r="C36" s="1">
        <v>43</v>
      </c>
      <c r="D36" s="1">
        <v>94</v>
      </c>
      <c r="E36" s="1">
        <v>262</v>
      </c>
      <c r="F36" s="1">
        <v>20</v>
      </c>
      <c r="G36" s="1">
        <v>250</v>
      </c>
      <c r="H36" s="1">
        <v>78</v>
      </c>
      <c r="I36" s="1"/>
      <c r="J36" s="1">
        <v>114</v>
      </c>
      <c r="K36" s="1">
        <v>30</v>
      </c>
      <c r="L36" s="1">
        <v>40</v>
      </c>
      <c r="M36" s="1">
        <f t="shared" si="0"/>
        <v>103.44444444444444</v>
      </c>
    </row>
    <row r="37" spans="1:13" x14ac:dyDescent="0.25">
      <c r="A37">
        <v>2006</v>
      </c>
      <c r="B37" s="1"/>
      <c r="C37" s="1">
        <v>27</v>
      </c>
      <c r="D37" s="1">
        <v>192</v>
      </c>
      <c r="E37" s="1">
        <v>240</v>
      </c>
      <c r="F37" s="1">
        <v>44</v>
      </c>
      <c r="G37" s="1">
        <v>138</v>
      </c>
      <c r="H37" s="1">
        <v>68</v>
      </c>
      <c r="I37" s="1"/>
      <c r="J37" s="1">
        <v>70</v>
      </c>
      <c r="K37" s="1">
        <v>75</v>
      </c>
      <c r="L37" s="1">
        <v>43</v>
      </c>
      <c r="M37" s="1">
        <f t="shared" si="0"/>
        <v>99.666666666666671</v>
      </c>
    </row>
    <row r="38" spans="1:13" x14ac:dyDescent="0.25">
      <c r="A38">
        <v>2007</v>
      </c>
      <c r="B38" s="1"/>
      <c r="C38" s="1">
        <v>18</v>
      </c>
      <c r="D38" s="1">
        <v>108</v>
      </c>
      <c r="E38" s="1">
        <v>155</v>
      </c>
      <c r="F38" s="1">
        <v>44</v>
      </c>
      <c r="G38" s="1">
        <v>51</v>
      </c>
      <c r="H38" s="1">
        <v>64</v>
      </c>
      <c r="I38" s="1"/>
      <c r="J38" s="1">
        <v>49</v>
      </c>
      <c r="K38" s="1">
        <v>44</v>
      </c>
      <c r="L38" s="1">
        <v>64</v>
      </c>
      <c r="M38" s="1">
        <f t="shared" si="0"/>
        <v>66.333333333333329</v>
      </c>
    </row>
    <row r="39" spans="1:13" x14ac:dyDescent="0.25">
      <c r="A39">
        <v>2008</v>
      </c>
      <c r="B39" s="1"/>
      <c r="C39" s="1">
        <v>17</v>
      </c>
      <c r="D39" s="1">
        <v>113</v>
      </c>
      <c r="E39" s="1">
        <v>161</v>
      </c>
      <c r="F39" s="1">
        <v>19</v>
      </c>
      <c r="G39" s="1">
        <v>166</v>
      </c>
      <c r="H39" s="1">
        <v>41</v>
      </c>
      <c r="I39" s="1"/>
      <c r="J39" s="1">
        <v>78</v>
      </c>
      <c r="K39" s="1">
        <v>12</v>
      </c>
      <c r="L39" s="1">
        <v>35</v>
      </c>
      <c r="M39" s="1">
        <f t="shared" si="0"/>
        <v>71.333333333333329</v>
      </c>
    </row>
    <row r="40" spans="1:13" x14ac:dyDescent="0.25">
      <c r="A40">
        <v>2009</v>
      </c>
      <c r="B40" s="1"/>
      <c r="C40" s="1">
        <v>22</v>
      </c>
      <c r="D40" s="1">
        <v>97</v>
      </c>
      <c r="E40" s="1">
        <v>175</v>
      </c>
      <c r="F40" s="1">
        <v>42</v>
      </c>
      <c r="G40" s="1">
        <v>172</v>
      </c>
      <c r="H40" s="1">
        <v>82</v>
      </c>
      <c r="I40" s="1"/>
      <c r="J40" s="1">
        <v>74</v>
      </c>
      <c r="K40" s="1">
        <v>113</v>
      </c>
      <c r="L40" s="1">
        <v>43</v>
      </c>
      <c r="M40" s="1">
        <f t="shared" si="0"/>
        <v>91.111111111111114</v>
      </c>
    </row>
    <row r="41" spans="1:13" x14ac:dyDescent="0.25">
      <c r="A41">
        <v>2010</v>
      </c>
      <c r="B41" s="1"/>
      <c r="C41" s="1">
        <v>30</v>
      </c>
      <c r="D41" s="1">
        <v>410</v>
      </c>
      <c r="E41" s="1">
        <v>490</v>
      </c>
      <c r="F41" s="1">
        <v>39</v>
      </c>
      <c r="G41" s="1">
        <v>302</v>
      </c>
      <c r="H41" s="1">
        <v>108</v>
      </c>
      <c r="I41" s="1"/>
      <c r="J41" s="1">
        <v>61</v>
      </c>
      <c r="K41" s="1">
        <v>142</v>
      </c>
      <c r="L41" s="1">
        <v>71</v>
      </c>
      <c r="M41" s="1">
        <f t="shared" si="0"/>
        <v>183.66666666666666</v>
      </c>
    </row>
    <row r="42" spans="1:13" x14ac:dyDescent="0.25">
      <c r="A42">
        <v>2011</v>
      </c>
      <c r="B42" s="1"/>
      <c r="C42" s="1">
        <v>19</v>
      </c>
      <c r="D42" s="1">
        <v>210</v>
      </c>
      <c r="E42" s="1">
        <v>288</v>
      </c>
      <c r="F42" s="1">
        <v>52</v>
      </c>
      <c r="G42" s="1">
        <v>65</v>
      </c>
      <c r="H42" s="1">
        <v>148</v>
      </c>
      <c r="I42" s="1"/>
      <c r="J42" s="1">
        <v>85</v>
      </c>
      <c r="K42" s="1">
        <v>90</v>
      </c>
      <c r="L42" s="1">
        <v>43</v>
      </c>
      <c r="M42" s="1">
        <f t="shared" si="0"/>
        <v>111.11111111111111</v>
      </c>
    </row>
    <row r="43" spans="1:13" x14ac:dyDescent="0.25">
      <c r="A43">
        <v>2012</v>
      </c>
      <c r="B43" s="1"/>
      <c r="C43" s="1">
        <v>29</v>
      </c>
      <c r="D43" s="1">
        <v>192</v>
      </c>
      <c r="E43" s="1">
        <v>181</v>
      </c>
      <c r="F43" s="1">
        <v>41</v>
      </c>
      <c r="G43" s="1">
        <v>64</v>
      </c>
      <c r="H43" s="1">
        <v>61</v>
      </c>
      <c r="I43" s="1"/>
      <c r="J43" s="1">
        <v>150</v>
      </c>
      <c r="K43" s="1">
        <v>65</v>
      </c>
      <c r="L43" s="1">
        <v>67</v>
      </c>
      <c r="M43" s="1">
        <f t="shared" si="0"/>
        <v>94.444444444444443</v>
      </c>
    </row>
    <row r="44" spans="1:13" x14ac:dyDescent="0.25">
      <c r="A44">
        <v>2013</v>
      </c>
      <c r="B44" s="1"/>
      <c r="C44" s="1">
        <v>54</v>
      </c>
      <c r="D44" s="1">
        <v>260</v>
      </c>
      <c r="E44" s="1">
        <v>272</v>
      </c>
      <c r="F44" s="1">
        <v>31</v>
      </c>
      <c r="G44" s="1">
        <v>125</v>
      </c>
      <c r="H44" s="1">
        <v>96</v>
      </c>
      <c r="I44" s="1"/>
      <c r="J44" s="1">
        <v>111</v>
      </c>
      <c r="K44" s="1">
        <v>133</v>
      </c>
      <c r="L44" s="1">
        <v>66</v>
      </c>
      <c r="M44" s="1">
        <f t="shared" si="0"/>
        <v>127.55555555555556</v>
      </c>
    </row>
    <row r="45" spans="1:13" x14ac:dyDescent="0.25">
      <c r="A45">
        <v>2014</v>
      </c>
      <c r="B45" s="1"/>
      <c r="C45" s="1">
        <v>63</v>
      </c>
      <c r="D45" s="1">
        <v>320</v>
      </c>
      <c r="E45" s="1">
        <v>281</v>
      </c>
      <c r="F45" s="1">
        <v>38</v>
      </c>
      <c r="G45" s="1">
        <v>125</v>
      </c>
      <c r="H45" s="1">
        <v>127</v>
      </c>
      <c r="I45" s="1"/>
      <c r="J45" s="1">
        <v>94</v>
      </c>
      <c r="K45" s="1">
        <v>122</v>
      </c>
      <c r="L45" s="1">
        <v>61</v>
      </c>
      <c r="M45" s="1">
        <f t="shared" si="0"/>
        <v>136.77777777777777</v>
      </c>
    </row>
    <row r="46" spans="1:13" x14ac:dyDescent="0.25">
      <c r="A46">
        <v>2015</v>
      </c>
      <c r="B46" s="1"/>
      <c r="C46" s="1">
        <v>14</v>
      </c>
      <c r="D46" s="1">
        <v>165</v>
      </c>
      <c r="E46" s="1">
        <v>208</v>
      </c>
      <c r="F46" s="1">
        <v>21</v>
      </c>
      <c r="G46" s="1">
        <v>91</v>
      </c>
      <c r="H46" s="1">
        <v>124</v>
      </c>
      <c r="I46" s="1"/>
      <c r="J46" s="1">
        <v>56</v>
      </c>
      <c r="K46" s="1">
        <v>56</v>
      </c>
      <c r="L46" s="1">
        <v>41</v>
      </c>
      <c r="M46" s="1">
        <f t="shared" si="0"/>
        <v>86.222222222222229</v>
      </c>
    </row>
    <row r="47" spans="1:13" x14ac:dyDescent="0.25">
      <c r="A47">
        <v>2016</v>
      </c>
      <c r="B47" s="1"/>
      <c r="C47" s="1">
        <v>10</v>
      </c>
      <c r="D47" s="1">
        <v>114</v>
      </c>
      <c r="E47" s="1">
        <v>145</v>
      </c>
      <c r="F47" s="1">
        <v>39</v>
      </c>
      <c r="G47" s="1">
        <v>54</v>
      </c>
      <c r="H47" s="1">
        <v>58</v>
      </c>
      <c r="I47" s="1"/>
      <c r="J47" s="1">
        <v>75</v>
      </c>
      <c r="K47" s="1">
        <v>66</v>
      </c>
      <c r="L47" s="1">
        <v>52</v>
      </c>
      <c r="M47" s="1">
        <f t="shared" si="0"/>
        <v>68.111111111111114</v>
      </c>
    </row>
    <row r="48" spans="1:13" x14ac:dyDescent="0.25">
      <c r="A48">
        <v>2017</v>
      </c>
      <c r="B48" s="1"/>
      <c r="C48" s="1">
        <v>53</v>
      </c>
      <c r="D48" s="1">
        <v>299</v>
      </c>
      <c r="E48" s="1">
        <v>208</v>
      </c>
      <c r="F48" s="1">
        <v>42</v>
      </c>
      <c r="G48" s="1">
        <v>83</v>
      </c>
      <c r="H48" s="1">
        <v>57</v>
      </c>
      <c r="I48" s="1"/>
      <c r="J48" s="1">
        <v>81</v>
      </c>
      <c r="K48" s="1">
        <v>83</v>
      </c>
      <c r="L48" s="1">
        <v>86</v>
      </c>
      <c r="M48" s="1">
        <f t="shared" si="0"/>
        <v>110.22222222222223</v>
      </c>
    </row>
    <row r="49" spans="1:13" x14ac:dyDescent="0.25">
      <c r="A49">
        <v>2018</v>
      </c>
      <c r="B49" s="1"/>
      <c r="C49" s="1">
        <v>30</v>
      </c>
      <c r="D49" s="1">
        <v>110</v>
      </c>
      <c r="E49" s="1">
        <v>212</v>
      </c>
      <c r="F49" s="1">
        <v>36</v>
      </c>
      <c r="G49" s="1">
        <v>72</v>
      </c>
      <c r="H49" s="1">
        <v>52</v>
      </c>
      <c r="I49" s="1"/>
      <c r="J49" s="1">
        <v>56</v>
      </c>
      <c r="K49" s="1">
        <v>32</v>
      </c>
      <c r="L49" s="1">
        <v>26</v>
      </c>
      <c r="M49" s="1">
        <f t="shared" si="0"/>
        <v>69.555555555555557</v>
      </c>
    </row>
    <row r="50" spans="1:13" x14ac:dyDescent="0.25">
      <c r="A50">
        <v>2019</v>
      </c>
      <c r="B50" s="1"/>
      <c r="C50" s="1">
        <v>4</v>
      </c>
      <c r="D50" s="1">
        <v>266</v>
      </c>
      <c r="E50" s="1">
        <v>258</v>
      </c>
      <c r="F50" s="1">
        <v>63</v>
      </c>
      <c r="G50" s="1">
        <v>119</v>
      </c>
      <c r="H50" s="1">
        <v>44</v>
      </c>
      <c r="I50" s="1"/>
      <c r="J50" s="1">
        <v>62</v>
      </c>
      <c r="K50" s="1">
        <v>91</v>
      </c>
      <c r="L50" s="1">
        <v>63</v>
      </c>
      <c r="M50" s="1">
        <f t="shared" si="0"/>
        <v>107.77777777777777</v>
      </c>
    </row>
    <row r="51" spans="1:13" x14ac:dyDescent="0.25">
      <c r="A51">
        <v>2020</v>
      </c>
      <c r="B51" s="1"/>
      <c r="C51" s="1">
        <v>38</v>
      </c>
      <c r="D51" s="1">
        <v>179</v>
      </c>
      <c r="E51" s="1">
        <v>252</v>
      </c>
      <c r="F51" s="1">
        <v>29</v>
      </c>
      <c r="G51" s="1">
        <v>67</v>
      </c>
      <c r="H51" s="1">
        <v>62</v>
      </c>
      <c r="I51" s="1"/>
      <c r="J51" s="1">
        <v>37</v>
      </c>
      <c r="K51" s="1">
        <v>68</v>
      </c>
      <c r="L51" s="1">
        <v>28</v>
      </c>
      <c r="M51" s="1">
        <f t="shared" si="0"/>
        <v>84.444444444444443</v>
      </c>
    </row>
    <row r="52" spans="1:13" x14ac:dyDescent="0.25">
      <c r="A52">
        <v>2021</v>
      </c>
      <c r="B52" s="1"/>
      <c r="C52" s="1">
        <v>6</v>
      </c>
      <c r="D52" s="1">
        <v>192</v>
      </c>
      <c r="E52" s="1">
        <v>295</v>
      </c>
      <c r="F52" s="1">
        <v>37</v>
      </c>
      <c r="G52" s="1">
        <v>92</v>
      </c>
      <c r="H52" s="1">
        <v>41</v>
      </c>
      <c r="I52" s="1"/>
      <c r="J52" s="1">
        <v>45</v>
      </c>
      <c r="K52" s="1">
        <v>91</v>
      </c>
      <c r="L52" s="1">
        <v>26</v>
      </c>
      <c r="M52" s="1">
        <f t="shared" si="0"/>
        <v>91.666666666666671</v>
      </c>
    </row>
    <row r="53" spans="1:13" x14ac:dyDescent="0.25">
      <c r="A53">
        <v>2022</v>
      </c>
      <c r="B53" s="1"/>
      <c r="C53" s="1">
        <v>0</v>
      </c>
      <c r="D53" s="1">
        <v>192</v>
      </c>
      <c r="E53" s="1">
        <v>143</v>
      </c>
      <c r="F53" s="1">
        <v>31</v>
      </c>
      <c r="G53" s="1">
        <v>24</v>
      </c>
      <c r="H53" s="1">
        <v>0</v>
      </c>
      <c r="I53" s="1"/>
      <c r="J53" s="1">
        <v>21</v>
      </c>
      <c r="K53" s="1">
        <v>39</v>
      </c>
      <c r="L53" s="1">
        <v>13</v>
      </c>
      <c r="M53" s="1">
        <f t="shared" si="0"/>
        <v>51.444444444444443</v>
      </c>
    </row>
    <row r="54" spans="1:13" x14ac:dyDescent="0.25">
      <c r="A54">
        <v>2023</v>
      </c>
      <c r="B54" s="1"/>
      <c r="C54" s="1">
        <v>39</v>
      </c>
      <c r="D54" s="1">
        <v>246</v>
      </c>
      <c r="E54" s="1">
        <v>257</v>
      </c>
      <c r="F54" s="1">
        <v>35</v>
      </c>
      <c r="G54" s="1">
        <v>62</v>
      </c>
      <c r="H54" s="1">
        <v>0</v>
      </c>
      <c r="I54" s="1"/>
      <c r="J54" s="1">
        <v>57</v>
      </c>
      <c r="K54" s="1">
        <v>55</v>
      </c>
      <c r="L54" s="1">
        <v>17</v>
      </c>
      <c r="M54" s="1">
        <f t="shared" si="0"/>
        <v>85.333333333333329</v>
      </c>
    </row>
    <row r="55" spans="1:13" x14ac:dyDescent="0.25">
      <c r="A55">
        <v>2024</v>
      </c>
      <c r="B55" s="1"/>
      <c r="C55" s="1">
        <v>13</v>
      </c>
      <c r="D55" s="1">
        <v>70</v>
      </c>
      <c r="E55" s="1">
        <v>199</v>
      </c>
      <c r="F55" s="1">
        <v>41</v>
      </c>
      <c r="G55" s="1">
        <v>36</v>
      </c>
      <c r="H55" s="1">
        <v>0</v>
      </c>
      <c r="I55" s="1"/>
      <c r="J55" s="1">
        <v>28</v>
      </c>
      <c r="K55" s="1">
        <v>42</v>
      </c>
      <c r="L55" s="1">
        <v>18</v>
      </c>
      <c r="M55" s="1">
        <f t="shared" si="0"/>
        <v>49.666666666666664</v>
      </c>
    </row>
    <row r="56" spans="1:13" x14ac:dyDescent="0.25">
      <c r="A56">
        <v>2025</v>
      </c>
      <c r="B56" s="1"/>
      <c r="C56" s="1">
        <v>0</v>
      </c>
      <c r="D56" s="1">
        <v>213</v>
      </c>
      <c r="E56" s="1">
        <v>336</v>
      </c>
      <c r="F56" s="1">
        <v>38</v>
      </c>
      <c r="G56" s="1">
        <v>114</v>
      </c>
      <c r="H56" s="1"/>
      <c r="I56" s="1">
        <v>51</v>
      </c>
      <c r="J56" s="1">
        <v>158</v>
      </c>
      <c r="K56" s="1">
        <v>61</v>
      </c>
      <c r="L56" s="1">
        <v>35</v>
      </c>
      <c r="M56" s="1">
        <f t="shared" si="0"/>
        <v>111.77777777777777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tabSelected="1" workbookViewId="0">
      <selection activeCell="O1" sqref="O1"/>
    </sheetView>
  </sheetViews>
  <sheetFormatPr defaultRowHeight="15" x14ac:dyDescent="0.25"/>
  <sheetData>
    <row r="1" spans="1:15" ht="75" x14ac:dyDescent="0.25">
      <c r="B1" t="s">
        <v>107</v>
      </c>
      <c r="C1" t="s">
        <v>108</v>
      </c>
      <c r="D1" t="s">
        <v>109</v>
      </c>
      <c r="E1" t="s">
        <v>110</v>
      </c>
      <c r="F1" t="s">
        <v>111</v>
      </c>
      <c r="G1" t="s">
        <v>112</v>
      </c>
      <c r="H1" t="s">
        <v>113</v>
      </c>
      <c r="I1" t="s">
        <v>114</v>
      </c>
      <c r="J1" t="s">
        <v>115</v>
      </c>
      <c r="K1" t="s">
        <v>116</v>
      </c>
      <c r="L1" t="s">
        <v>117</v>
      </c>
      <c r="M1" t="s">
        <v>118</v>
      </c>
      <c r="N1" t="s">
        <v>119</v>
      </c>
      <c r="O1" s="3" t="s">
        <v>213</v>
      </c>
    </row>
    <row r="2" spans="1:15" x14ac:dyDescent="0.25">
      <c r="A2">
        <v>1971</v>
      </c>
      <c r="B2">
        <v>70</v>
      </c>
      <c r="C2" s="1">
        <v>90</v>
      </c>
      <c r="D2" s="1">
        <v>39</v>
      </c>
      <c r="E2" s="1">
        <v>72</v>
      </c>
      <c r="F2" s="1"/>
      <c r="G2" s="1">
        <v>109</v>
      </c>
      <c r="H2" s="1">
        <v>98</v>
      </c>
      <c r="I2" s="1">
        <v>60</v>
      </c>
      <c r="J2" s="1">
        <v>46</v>
      </c>
      <c r="K2" s="1">
        <v>39</v>
      </c>
      <c r="L2" s="1">
        <v>83</v>
      </c>
      <c r="M2" s="1">
        <v>87</v>
      </c>
      <c r="N2" s="1">
        <v>109</v>
      </c>
      <c r="O2" s="1">
        <f>AVERAGE(B2:N2)</f>
        <v>75.166666666666671</v>
      </c>
    </row>
    <row r="3" spans="1:15" x14ac:dyDescent="0.25">
      <c r="A3">
        <v>1972</v>
      </c>
      <c r="B3">
        <v>52</v>
      </c>
      <c r="C3" s="1">
        <v>72</v>
      </c>
      <c r="D3" s="1">
        <v>16</v>
      </c>
      <c r="E3" s="1">
        <v>23</v>
      </c>
      <c r="F3" s="1"/>
      <c r="G3" s="1">
        <v>69</v>
      </c>
      <c r="H3" s="1">
        <v>92</v>
      </c>
      <c r="I3" s="1">
        <v>46</v>
      </c>
      <c r="J3" s="1">
        <v>31</v>
      </c>
      <c r="K3" s="1">
        <v>23</v>
      </c>
      <c r="L3" s="1">
        <v>21</v>
      </c>
      <c r="M3" s="1">
        <v>90</v>
      </c>
      <c r="N3" s="1">
        <v>66</v>
      </c>
      <c r="O3" s="1">
        <f t="shared" ref="O3:O56" si="0">AVERAGE(B3:N3)</f>
        <v>50.083333333333336</v>
      </c>
    </row>
    <row r="4" spans="1:15" x14ac:dyDescent="0.25">
      <c r="A4">
        <v>1973</v>
      </c>
      <c r="B4">
        <v>51</v>
      </c>
      <c r="C4" s="1">
        <v>66</v>
      </c>
      <c r="D4" s="1">
        <v>37</v>
      </c>
      <c r="E4" s="1">
        <v>32</v>
      </c>
      <c r="F4" s="1"/>
      <c r="G4" s="1">
        <v>68</v>
      </c>
      <c r="H4" s="1">
        <v>57</v>
      </c>
      <c r="I4" s="1">
        <v>69</v>
      </c>
      <c r="J4" s="1">
        <v>35</v>
      </c>
      <c r="K4" s="1">
        <v>48</v>
      </c>
      <c r="L4" s="1">
        <v>44</v>
      </c>
      <c r="M4" s="1">
        <v>50</v>
      </c>
      <c r="N4" s="1">
        <v>68</v>
      </c>
      <c r="O4" s="1">
        <f t="shared" si="0"/>
        <v>52.083333333333336</v>
      </c>
    </row>
    <row r="5" spans="1:15" x14ac:dyDescent="0.25">
      <c r="A5">
        <v>1974</v>
      </c>
      <c r="B5">
        <v>43</v>
      </c>
      <c r="C5" s="1">
        <v>60</v>
      </c>
      <c r="D5" s="1">
        <v>40</v>
      </c>
      <c r="E5" s="1">
        <v>44</v>
      </c>
      <c r="F5" s="1"/>
      <c r="G5" s="1">
        <v>110</v>
      </c>
      <c r="H5" s="1">
        <v>65</v>
      </c>
      <c r="I5" s="1">
        <v>17</v>
      </c>
      <c r="J5" s="1">
        <v>46</v>
      </c>
      <c r="K5" s="1">
        <v>23</v>
      </c>
      <c r="L5" s="1">
        <v>36</v>
      </c>
      <c r="M5" s="1">
        <v>33</v>
      </c>
      <c r="N5" s="1">
        <v>84</v>
      </c>
      <c r="O5" s="1">
        <f t="shared" si="0"/>
        <v>50.083333333333336</v>
      </c>
    </row>
    <row r="6" spans="1:15" x14ac:dyDescent="0.25">
      <c r="A6">
        <v>1975</v>
      </c>
      <c r="B6">
        <v>46</v>
      </c>
      <c r="C6" s="1">
        <v>50</v>
      </c>
      <c r="D6" s="1">
        <v>28</v>
      </c>
      <c r="E6" s="1">
        <v>0</v>
      </c>
      <c r="F6" s="1"/>
      <c r="G6" s="1">
        <v>50</v>
      </c>
      <c r="H6" s="1">
        <v>46</v>
      </c>
      <c r="I6" s="1">
        <v>21</v>
      </c>
      <c r="J6" s="1">
        <v>45</v>
      </c>
      <c r="K6" s="1">
        <v>20</v>
      </c>
      <c r="L6" s="1">
        <v>22</v>
      </c>
      <c r="M6" s="1">
        <v>58</v>
      </c>
      <c r="N6" s="1">
        <v>84</v>
      </c>
      <c r="O6" s="1">
        <f t="shared" si="0"/>
        <v>39.166666666666664</v>
      </c>
    </row>
    <row r="7" spans="1:15" x14ac:dyDescent="0.25">
      <c r="A7">
        <v>1976</v>
      </c>
      <c r="B7">
        <v>93</v>
      </c>
      <c r="C7" s="1">
        <v>126</v>
      </c>
      <c r="D7" s="1">
        <v>38</v>
      </c>
      <c r="E7" s="1">
        <v>40</v>
      </c>
      <c r="F7" s="1"/>
      <c r="G7" s="1">
        <v>102</v>
      </c>
      <c r="H7" s="1">
        <v>133</v>
      </c>
      <c r="I7" s="1">
        <v>66</v>
      </c>
      <c r="J7" s="1">
        <v>109</v>
      </c>
      <c r="K7" s="1">
        <v>50</v>
      </c>
      <c r="L7" s="1">
        <v>57</v>
      </c>
      <c r="M7" s="1">
        <v>83</v>
      </c>
      <c r="N7" s="1">
        <v>164</v>
      </c>
      <c r="O7" s="1">
        <f t="shared" si="0"/>
        <v>88.416666666666671</v>
      </c>
    </row>
    <row r="8" spans="1:15" x14ac:dyDescent="0.25">
      <c r="A8">
        <v>1977</v>
      </c>
      <c r="B8">
        <v>36</v>
      </c>
      <c r="C8" s="1">
        <v>36</v>
      </c>
      <c r="D8" s="1">
        <v>39</v>
      </c>
      <c r="E8" s="1">
        <v>46</v>
      </c>
      <c r="F8" s="1"/>
      <c r="G8" s="1">
        <v>51</v>
      </c>
      <c r="H8" s="1">
        <v>61</v>
      </c>
      <c r="I8" s="1">
        <v>34</v>
      </c>
      <c r="J8" s="1">
        <v>38</v>
      </c>
      <c r="K8" s="1">
        <v>11</v>
      </c>
      <c r="L8" s="1">
        <v>42</v>
      </c>
      <c r="M8" s="1">
        <v>45</v>
      </c>
      <c r="N8" s="1">
        <v>53</v>
      </c>
      <c r="O8" s="1">
        <f t="shared" si="0"/>
        <v>41</v>
      </c>
    </row>
    <row r="9" spans="1:15" x14ac:dyDescent="0.25">
      <c r="A9">
        <v>1978</v>
      </c>
      <c r="B9" s="1">
        <v>52.5</v>
      </c>
      <c r="C9" s="1">
        <v>69.760000000000005</v>
      </c>
      <c r="D9" s="1">
        <v>77.5</v>
      </c>
      <c r="E9" s="1">
        <v>43.03</v>
      </c>
      <c r="F9" s="1"/>
      <c r="G9" s="1">
        <v>89.62</v>
      </c>
      <c r="H9" s="1">
        <v>86.4</v>
      </c>
      <c r="I9" s="1">
        <v>36.020000000000003</v>
      </c>
      <c r="J9" s="1">
        <v>65.099999999999994</v>
      </c>
      <c r="K9" s="1">
        <v>24.7</v>
      </c>
      <c r="L9" s="1">
        <v>37.19</v>
      </c>
      <c r="M9" s="1">
        <v>63.01</v>
      </c>
      <c r="N9" s="1"/>
      <c r="O9" s="1">
        <f t="shared" si="0"/>
        <v>58.620909090909088</v>
      </c>
    </row>
    <row r="10" spans="1:15" x14ac:dyDescent="0.25">
      <c r="A10">
        <v>1979</v>
      </c>
      <c r="B10" s="1">
        <v>107.3</v>
      </c>
      <c r="C10" s="1">
        <v>97.24</v>
      </c>
      <c r="D10" s="1">
        <v>32.630000000000003</v>
      </c>
      <c r="E10" s="1">
        <v>51.8</v>
      </c>
      <c r="F10" s="1"/>
      <c r="G10" s="1">
        <v>115.6</v>
      </c>
      <c r="H10" s="1">
        <v>96.1</v>
      </c>
      <c r="I10" s="1">
        <v>31.3</v>
      </c>
      <c r="J10" s="1">
        <v>102.6</v>
      </c>
      <c r="K10" s="1">
        <v>12</v>
      </c>
      <c r="L10" s="1">
        <v>81.650000000000006</v>
      </c>
      <c r="M10" s="1">
        <v>111.63</v>
      </c>
      <c r="N10" s="1"/>
      <c r="O10" s="1">
        <f t="shared" si="0"/>
        <v>76.349999999999994</v>
      </c>
    </row>
    <row r="11" spans="1:15" x14ac:dyDescent="0.25">
      <c r="A11">
        <v>1980</v>
      </c>
      <c r="B11" s="1">
        <v>64.8</v>
      </c>
      <c r="C11" s="1">
        <v>105.4</v>
      </c>
      <c r="D11" s="1">
        <v>27.6</v>
      </c>
      <c r="E11" s="1">
        <v>38.5</v>
      </c>
      <c r="F11" s="1"/>
      <c r="G11" s="1">
        <v>72.900000000000006</v>
      </c>
      <c r="H11" s="1">
        <v>59.4</v>
      </c>
      <c r="I11" s="1">
        <v>20.8</v>
      </c>
      <c r="J11" s="1">
        <v>39.1</v>
      </c>
      <c r="K11" s="1">
        <v>28.5</v>
      </c>
      <c r="L11" s="1">
        <v>41.4</v>
      </c>
      <c r="M11" s="1">
        <v>59.4</v>
      </c>
      <c r="N11" s="1"/>
      <c r="O11" s="1">
        <f t="shared" si="0"/>
        <v>50.709090909090904</v>
      </c>
    </row>
    <row r="12" spans="1:15" x14ac:dyDescent="0.25">
      <c r="A12">
        <v>1981</v>
      </c>
      <c r="B12" s="1">
        <v>56.03</v>
      </c>
      <c r="C12" s="1">
        <v>49.77</v>
      </c>
      <c r="D12" s="1">
        <v>11.4</v>
      </c>
      <c r="E12" s="1">
        <v>6</v>
      </c>
      <c r="F12" s="1"/>
      <c r="G12" s="1">
        <v>66.75</v>
      </c>
      <c r="H12" s="1">
        <v>43.2</v>
      </c>
      <c r="I12" s="1">
        <v>21.63</v>
      </c>
      <c r="J12" s="1">
        <v>54.66</v>
      </c>
      <c r="K12" s="1">
        <v>14.7</v>
      </c>
      <c r="L12" s="1">
        <v>23.52</v>
      </c>
      <c r="M12" s="1">
        <v>46.66</v>
      </c>
      <c r="N12" s="1"/>
      <c r="O12" s="1">
        <f t="shared" si="0"/>
        <v>35.847272727272731</v>
      </c>
    </row>
    <row r="13" spans="1:15" x14ac:dyDescent="0.25">
      <c r="A13">
        <v>1982</v>
      </c>
      <c r="B13" s="1">
        <v>26.29</v>
      </c>
      <c r="C13" s="1">
        <v>39.08</v>
      </c>
      <c r="D13" s="1">
        <v>14.5</v>
      </c>
      <c r="E13" s="1">
        <v>12.68</v>
      </c>
      <c r="F13" s="1"/>
      <c r="G13" s="1">
        <v>56.08</v>
      </c>
      <c r="H13" s="1">
        <v>55</v>
      </c>
      <c r="I13" s="1">
        <v>21</v>
      </c>
      <c r="J13" s="1">
        <v>30.19</v>
      </c>
      <c r="K13" s="1">
        <v>22</v>
      </c>
      <c r="L13" s="1">
        <v>22.1</v>
      </c>
      <c r="M13" s="1">
        <v>27.16</v>
      </c>
      <c r="N13" s="1"/>
      <c r="O13" s="1">
        <f t="shared" si="0"/>
        <v>29.643636363636368</v>
      </c>
    </row>
    <row r="14" spans="1:15" x14ac:dyDescent="0.25">
      <c r="A14">
        <v>1983</v>
      </c>
      <c r="B14" s="1">
        <v>53.2</v>
      </c>
      <c r="C14" s="1">
        <v>87.67</v>
      </c>
      <c r="D14" s="1">
        <v>24.7</v>
      </c>
      <c r="E14" s="1">
        <v>18.11</v>
      </c>
      <c r="F14" s="1"/>
      <c r="G14" s="1">
        <v>74.05</v>
      </c>
      <c r="H14" s="1">
        <v>103.65</v>
      </c>
      <c r="I14" s="1">
        <v>21.7</v>
      </c>
      <c r="J14" s="1">
        <v>37.15</v>
      </c>
      <c r="K14" s="1">
        <v>36</v>
      </c>
      <c r="L14" s="1">
        <v>12.14</v>
      </c>
      <c r="M14" s="1">
        <v>49.3</v>
      </c>
      <c r="N14" s="1"/>
      <c r="O14" s="1">
        <f t="shared" si="0"/>
        <v>47.060909090909085</v>
      </c>
    </row>
    <row r="15" spans="1:15" x14ac:dyDescent="0.25">
      <c r="A15">
        <v>1984</v>
      </c>
      <c r="B15" s="1">
        <v>66</v>
      </c>
      <c r="C15" s="1">
        <v>108.9</v>
      </c>
      <c r="D15" s="1">
        <v>20.9</v>
      </c>
      <c r="E15" s="1">
        <v>27</v>
      </c>
      <c r="F15" s="1"/>
      <c r="G15" s="1">
        <v>125.8</v>
      </c>
      <c r="H15" s="1">
        <v>43.2</v>
      </c>
      <c r="I15" s="1">
        <v>28.63</v>
      </c>
      <c r="J15" s="1">
        <v>84</v>
      </c>
      <c r="K15" s="1">
        <v>62.4</v>
      </c>
      <c r="L15" s="1">
        <v>46.97</v>
      </c>
      <c r="M15" s="1">
        <v>66.599999999999994</v>
      </c>
      <c r="N15" s="1"/>
      <c r="O15" s="1">
        <f t="shared" si="0"/>
        <v>61.854545454545466</v>
      </c>
    </row>
    <row r="16" spans="1:15" x14ac:dyDescent="0.25">
      <c r="A16">
        <v>1985</v>
      </c>
      <c r="B16" s="1">
        <v>57.5</v>
      </c>
      <c r="C16" s="1">
        <v>88.08</v>
      </c>
      <c r="D16" s="1">
        <v>34.1</v>
      </c>
      <c r="E16" s="1">
        <v>52.86</v>
      </c>
      <c r="F16" s="1"/>
      <c r="G16" s="1">
        <v>159.93</v>
      </c>
      <c r="H16" s="1">
        <v>114</v>
      </c>
      <c r="I16" s="1">
        <v>69</v>
      </c>
      <c r="J16" s="1">
        <v>56.05</v>
      </c>
      <c r="K16" s="1"/>
      <c r="L16" s="1">
        <v>78</v>
      </c>
      <c r="M16" s="1">
        <v>64</v>
      </c>
      <c r="N16" s="1"/>
      <c r="O16" s="1">
        <f t="shared" si="0"/>
        <v>77.352000000000004</v>
      </c>
    </row>
    <row r="17" spans="1:15" x14ac:dyDescent="0.25">
      <c r="A17">
        <v>1986</v>
      </c>
      <c r="B17" s="1">
        <v>53</v>
      </c>
      <c r="C17" s="1">
        <v>84</v>
      </c>
      <c r="D17" s="1">
        <v>44</v>
      </c>
      <c r="E17" s="1">
        <v>55</v>
      </c>
      <c r="F17" s="1"/>
      <c r="G17" s="1">
        <v>155</v>
      </c>
      <c r="H17" s="1">
        <v>116</v>
      </c>
      <c r="I17" s="1">
        <v>63</v>
      </c>
      <c r="J17" s="1">
        <v>90</v>
      </c>
      <c r="K17" s="1">
        <v>64</v>
      </c>
      <c r="L17" s="1">
        <v>109</v>
      </c>
      <c r="M17" s="1">
        <v>85</v>
      </c>
      <c r="N17" s="1">
        <v>143</v>
      </c>
      <c r="O17" s="1">
        <f t="shared" si="0"/>
        <v>88.416666666666671</v>
      </c>
    </row>
    <row r="18" spans="1:15" x14ac:dyDescent="0.25">
      <c r="A18">
        <v>1987</v>
      </c>
      <c r="B18" s="1">
        <v>138</v>
      </c>
      <c r="C18" s="1">
        <v>93</v>
      </c>
      <c r="D18" s="1">
        <v>114</v>
      </c>
      <c r="E18" s="1">
        <v>76</v>
      </c>
      <c r="F18" s="1"/>
      <c r="G18" s="1">
        <v>236</v>
      </c>
      <c r="H18" s="1">
        <v>95</v>
      </c>
      <c r="I18" s="1">
        <v>63</v>
      </c>
      <c r="J18" s="1">
        <v>93</v>
      </c>
      <c r="K18" s="1">
        <v>23</v>
      </c>
      <c r="L18" s="1">
        <v>110</v>
      </c>
      <c r="M18" s="1">
        <v>68</v>
      </c>
      <c r="N18" s="1">
        <v>143</v>
      </c>
      <c r="O18" s="1">
        <f t="shared" si="0"/>
        <v>104.33333333333333</v>
      </c>
    </row>
    <row r="19" spans="1:15" x14ac:dyDescent="0.25">
      <c r="A19">
        <v>1988</v>
      </c>
      <c r="B19" s="1">
        <v>84</v>
      </c>
      <c r="C19" s="1">
        <v>148</v>
      </c>
      <c r="D19" s="1">
        <v>42</v>
      </c>
      <c r="E19" s="1">
        <v>105</v>
      </c>
      <c r="F19" s="1"/>
      <c r="G19" s="1">
        <v>246</v>
      </c>
      <c r="H19" s="1">
        <v>119</v>
      </c>
      <c r="I19" s="1">
        <v>67</v>
      </c>
      <c r="J19" s="1">
        <v>53</v>
      </c>
      <c r="K19" s="1">
        <v>43</v>
      </c>
      <c r="L19" s="1">
        <v>82</v>
      </c>
      <c r="M19" s="1">
        <v>78</v>
      </c>
      <c r="N19" s="1">
        <v>130</v>
      </c>
      <c r="O19" s="1">
        <f t="shared" si="0"/>
        <v>99.75</v>
      </c>
    </row>
    <row r="20" spans="1:15" x14ac:dyDescent="0.25">
      <c r="A20">
        <v>1989</v>
      </c>
      <c r="B20" s="1">
        <v>43</v>
      </c>
      <c r="C20" s="1">
        <v>84</v>
      </c>
      <c r="D20" s="1">
        <v>69</v>
      </c>
      <c r="E20" s="1">
        <v>66</v>
      </c>
      <c r="F20" s="1"/>
      <c r="G20" s="1">
        <v>140</v>
      </c>
      <c r="H20" s="1">
        <v>112</v>
      </c>
      <c r="I20" s="1">
        <v>79</v>
      </c>
      <c r="J20" s="1">
        <v>68</v>
      </c>
      <c r="K20" s="1">
        <v>42</v>
      </c>
      <c r="L20" s="1">
        <v>87</v>
      </c>
      <c r="M20" s="1">
        <v>76</v>
      </c>
      <c r="N20" s="1">
        <v>129</v>
      </c>
      <c r="O20" s="1">
        <f t="shared" si="0"/>
        <v>82.916666666666671</v>
      </c>
    </row>
    <row r="21" spans="1:15" x14ac:dyDescent="0.25">
      <c r="A21">
        <v>1990</v>
      </c>
      <c r="B21" s="1">
        <v>51</v>
      </c>
      <c r="C21" s="1">
        <v>129</v>
      </c>
      <c r="D21" s="1">
        <v>35</v>
      </c>
      <c r="E21" s="1">
        <v>55</v>
      </c>
      <c r="F21" s="1"/>
      <c r="G21" s="1">
        <v>89</v>
      </c>
      <c r="H21" s="1">
        <v>123</v>
      </c>
      <c r="I21" s="1">
        <v>76</v>
      </c>
      <c r="J21" s="1">
        <v>137</v>
      </c>
      <c r="K21" s="1">
        <v>39</v>
      </c>
      <c r="L21" s="1">
        <v>99</v>
      </c>
      <c r="M21" s="1">
        <v>73</v>
      </c>
      <c r="N21" s="1">
        <v>179</v>
      </c>
      <c r="O21" s="1">
        <f t="shared" si="0"/>
        <v>90.416666666666671</v>
      </c>
    </row>
    <row r="22" spans="1:15" x14ac:dyDescent="0.25">
      <c r="A22">
        <v>1991</v>
      </c>
      <c r="B22" s="1">
        <v>34</v>
      </c>
      <c r="C22" s="1">
        <v>75</v>
      </c>
      <c r="D22" s="1">
        <v>38</v>
      </c>
      <c r="E22" s="1">
        <v>76</v>
      </c>
      <c r="F22" s="1"/>
      <c r="G22" s="1">
        <v>73</v>
      </c>
      <c r="H22" s="1">
        <v>59</v>
      </c>
      <c r="I22" s="1">
        <v>34</v>
      </c>
      <c r="J22" s="1">
        <v>41</v>
      </c>
      <c r="K22" s="1">
        <v>26</v>
      </c>
      <c r="L22" s="1">
        <v>41</v>
      </c>
      <c r="M22" s="1">
        <v>52</v>
      </c>
      <c r="N22" s="1">
        <v>98</v>
      </c>
      <c r="O22" s="1">
        <f t="shared" si="0"/>
        <v>53.916666666666664</v>
      </c>
    </row>
    <row r="23" spans="1:15" x14ac:dyDescent="0.25">
      <c r="A23">
        <v>1992</v>
      </c>
      <c r="B23" s="1">
        <v>68</v>
      </c>
      <c r="C23" s="1">
        <v>214</v>
      </c>
      <c r="D23" s="1">
        <v>69</v>
      </c>
      <c r="E23" s="1">
        <v>89</v>
      </c>
      <c r="F23" s="1"/>
      <c r="G23" s="1">
        <v>79</v>
      </c>
      <c r="H23" s="1">
        <v>121</v>
      </c>
      <c r="I23" s="1">
        <v>65</v>
      </c>
      <c r="J23" s="1">
        <v>100</v>
      </c>
      <c r="K23" s="1">
        <v>16</v>
      </c>
      <c r="L23" s="1">
        <v>82</v>
      </c>
      <c r="M23" s="1">
        <v>63</v>
      </c>
      <c r="N23" s="1">
        <v>104</v>
      </c>
      <c r="O23" s="1">
        <f t="shared" si="0"/>
        <v>89.166666666666671</v>
      </c>
    </row>
    <row r="24" spans="1:15" x14ac:dyDescent="0.25">
      <c r="A24">
        <v>1993</v>
      </c>
      <c r="B24" s="1">
        <v>74</v>
      </c>
      <c r="C24" s="1">
        <v>119</v>
      </c>
      <c r="D24" s="1">
        <v>19</v>
      </c>
      <c r="E24" s="1">
        <v>39</v>
      </c>
      <c r="F24" s="1"/>
      <c r="G24" s="1">
        <v>69</v>
      </c>
      <c r="H24" s="1">
        <v>116</v>
      </c>
      <c r="I24" s="1">
        <v>67</v>
      </c>
      <c r="J24" s="1">
        <v>66</v>
      </c>
      <c r="K24" s="1">
        <v>53</v>
      </c>
      <c r="L24" s="1">
        <v>89</v>
      </c>
      <c r="M24" s="1">
        <v>68</v>
      </c>
      <c r="N24" s="1">
        <v>102</v>
      </c>
      <c r="O24" s="1">
        <f t="shared" si="0"/>
        <v>73.416666666666671</v>
      </c>
    </row>
    <row r="25" spans="1:15" x14ac:dyDescent="0.25">
      <c r="A25">
        <v>1994</v>
      </c>
      <c r="B25" s="1">
        <v>78</v>
      </c>
      <c r="C25" s="1">
        <v>139</v>
      </c>
      <c r="D25" s="1">
        <v>90</v>
      </c>
      <c r="E25" s="1">
        <v>81</v>
      </c>
      <c r="F25" s="1"/>
      <c r="G25" s="1">
        <v>145</v>
      </c>
      <c r="H25" s="1">
        <v>112</v>
      </c>
      <c r="I25" s="1">
        <v>69</v>
      </c>
      <c r="J25" s="1">
        <v>119</v>
      </c>
      <c r="K25" s="1">
        <v>46</v>
      </c>
      <c r="L25" s="1">
        <v>91</v>
      </c>
      <c r="M25" s="1">
        <v>69</v>
      </c>
      <c r="N25" s="1">
        <v>166</v>
      </c>
      <c r="O25" s="1">
        <f t="shared" si="0"/>
        <v>100.41666666666667</v>
      </c>
    </row>
    <row r="26" spans="1:15" x14ac:dyDescent="0.25">
      <c r="A26">
        <v>1995</v>
      </c>
      <c r="B26" s="1">
        <v>48</v>
      </c>
      <c r="C26" s="1">
        <v>55</v>
      </c>
      <c r="D26" s="1">
        <v>104</v>
      </c>
      <c r="E26" s="1">
        <v>61</v>
      </c>
      <c r="F26" s="1"/>
      <c r="G26" s="1">
        <v>96</v>
      </c>
      <c r="H26" s="1">
        <v>39</v>
      </c>
      <c r="I26" s="1">
        <v>0</v>
      </c>
      <c r="J26" s="1">
        <v>70</v>
      </c>
      <c r="K26" s="1">
        <v>38</v>
      </c>
      <c r="L26" s="1">
        <v>53</v>
      </c>
      <c r="M26" s="1">
        <v>48</v>
      </c>
      <c r="N26" s="1">
        <v>88</v>
      </c>
      <c r="O26" s="1">
        <f t="shared" si="0"/>
        <v>58.333333333333336</v>
      </c>
    </row>
    <row r="27" spans="1:15" x14ac:dyDescent="0.25">
      <c r="A27">
        <v>1996</v>
      </c>
      <c r="B27" s="1">
        <v>53</v>
      </c>
      <c r="C27" s="1">
        <v>80</v>
      </c>
      <c r="D27" s="1">
        <v>49</v>
      </c>
      <c r="E27" s="1">
        <v>34</v>
      </c>
      <c r="F27" s="1"/>
      <c r="G27" s="1">
        <v>69</v>
      </c>
      <c r="H27" s="1">
        <v>62</v>
      </c>
      <c r="I27" s="1">
        <v>29</v>
      </c>
      <c r="J27" s="1">
        <v>58</v>
      </c>
      <c r="K27" s="1">
        <v>59</v>
      </c>
      <c r="L27" s="1">
        <v>56</v>
      </c>
      <c r="M27" s="1">
        <v>76</v>
      </c>
      <c r="N27" s="1">
        <v>82</v>
      </c>
      <c r="O27" s="1">
        <f t="shared" si="0"/>
        <v>58.916666666666664</v>
      </c>
    </row>
    <row r="28" spans="1:15" x14ac:dyDescent="0.25">
      <c r="A28">
        <v>1997</v>
      </c>
      <c r="B28" s="1">
        <v>73</v>
      </c>
      <c r="C28" s="1">
        <v>105</v>
      </c>
      <c r="D28" s="1">
        <v>59</v>
      </c>
      <c r="E28" s="1">
        <v>62</v>
      </c>
      <c r="F28" s="1"/>
      <c r="G28" s="1">
        <v>108</v>
      </c>
      <c r="H28" s="1">
        <v>105</v>
      </c>
      <c r="I28" s="1">
        <v>88</v>
      </c>
      <c r="J28" s="1">
        <v>90</v>
      </c>
      <c r="K28" s="1">
        <v>54</v>
      </c>
      <c r="L28" s="1">
        <v>77</v>
      </c>
      <c r="M28" s="1">
        <v>62</v>
      </c>
      <c r="N28" s="1">
        <v>93</v>
      </c>
      <c r="O28" s="1">
        <f t="shared" si="0"/>
        <v>81.333333333333329</v>
      </c>
    </row>
    <row r="29" spans="1:15" x14ac:dyDescent="0.25">
      <c r="A29">
        <v>1998</v>
      </c>
      <c r="B29" s="1">
        <v>96</v>
      </c>
      <c r="C29" s="1">
        <v>143</v>
      </c>
      <c r="D29" s="1">
        <v>72</v>
      </c>
      <c r="E29" s="1">
        <v>75</v>
      </c>
      <c r="F29" s="1"/>
      <c r="G29" s="1">
        <v>154</v>
      </c>
      <c r="H29" s="1">
        <v>116</v>
      </c>
      <c r="I29" s="1">
        <v>80</v>
      </c>
      <c r="J29" s="1">
        <v>124</v>
      </c>
      <c r="K29" s="1">
        <v>30</v>
      </c>
      <c r="L29" s="1">
        <v>111</v>
      </c>
      <c r="M29" s="1">
        <v>99</v>
      </c>
      <c r="N29" s="1">
        <v>146</v>
      </c>
      <c r="O29" s="1">
        <f t="shared" si="0"/>
        <v>103.83333333333333</v>
      </c>
    </row>
    <row r="30" spans="1:15" x14ac:dyDescent="0.25">
      <c r="A30">
        <v>1999</v>
      </c>
      <c r="B30" s="1">
        <v>60</v>
      </c>
      <c r="C30" s="1">
        <v>77</v>
      </c>
      <c r="D30" s="1">
        <v>54</v>
      </c>
      <c r="E30" s="1">
        <v>0</v>
      </c>
      <c r="F30" s="1"/>
      <c r="G30" s="1">
        <v>61</v>
      </c>
      <c r="H30" s="1">
        <v>22</v>
      </c>
      <c r="I30" s="1">
        <v>15</v>
      </c>
      <c r="J30" s="1">
        <v>68</v>
      </c>
      <c r="K30" s="1">
        <v>61</v>
      </c>
      <c r="L30" s="1">
        <v>25</v>
      </c>
      <c r="M30" s="1">
        <v>57</v>
      </c>
      <c r="N30" s="1">
        <v>99</v>
      </c>
      <c r="O30" s="1">
        <f t="shared" si="0"/>
        <v>49.916666666666664</v>
      </c>
    </row>
    <row r="31" spans="1:15" x14ac:dyDescent="0.25">
      <c r="A31">
        <v>2000</v>
      </c>
      <c r="B31" s="1">
        <v>112</v>
      </c>
      <c r="C31" s="1">
        <v>190</v>
      </c>
      <c r="D31" s="1">
        <v>15</v>
      </c>
      <c r="E31" s="1">
        <v>28</v>
      </c>
      <c r="F31" s="1"/>
      <c r="G31" s="1">
        <v>67</v>
      </c>
      <c r="H31" s="1">
        <v>39</v>
      </c>
      <c r="I31" s="1">
        <v>21</v>
      </c>
      <c r="J31" s="1">
        <v>80</v>
      </c>
      <c r="K31" s="1">
        <v>48</v>
      </c>
      <c r="L31" s="1">
        <v>26</v>
      </c>
      <c r="M31" s="1">
        <v>84</v>
      </c>
      <c r="N31" s="1">
        <v>154</v>
      </c>
      <c r="O31" s="1">
        <f t="shared" si="0"/>
        <v>72</v>
      </c>
    </row>
    <row r="32" spans="1:15" x14ac:dyDescent="0.25">
      <c r="A32">
        <v>2001</v>
      </c>
      <c r="B32" s="1">
        <v>42</v>
      </c>
      <c r="C32" s="1">
        <v>73</v>
      </c>
      <c r="D32" s="1">
        <v>12</v>
      </c>
      <c r="E32" s="1">
        <v>25</v>
      </c>
      <c r="F32" s="1"/>
      <c r="G32" s="1">
        <v>20</v>
      </c>
      <c r="H32" s="1">
        <v>31</v>
      </c>
      <c r="I32" s="1">
        <v>28</v>
      </c>
      <c r="J32" s="1">
        <v>40</v>
      </c>
      <c r="K32" s="1">
        <v>35</v>
      </c>
      <c r="L32" s="1">
        <v>22</v>
      </c>
      <c r="M32" s="1">
        <v>114</v>
      </c>
      <c r="N32" s="1">
        <v>92</v>
      </c>
      <c r="O32" s="1">
        <f t="shared" si="0"/>
        <v>44.5</v>
      </c>
    </row>
    <row r="33" spans="1:15" x14ac:dyDescent="0.25">
      <c r="A33">
        <v>2002</v>
      </c>
      <c r="B33" s="1">
        <v>45</v>
      </c>
      <c r="C33" s="1">
        <v>135</v>
      </c>
      <c r="D33" s="1">
        <v>27</v>
      </c>
      <c r="E33" s="1">
        <v>44</v>
      </c>
      <c r="F33" s="1"/>
      <c r="G33" s="1">
        <v>90</v>
      </c>
      <c r="H33" s="1">
        <v>77</v>
      </c>
      <c r="I33" s="1">
        <v>38</v>
      </c>
      <c r="J33" s="1">
        <v>78</v>
      </c>
      <c r="K33" s="1">
        <v>45</v>
      </c>
      <c r="L33" s="1">
        <v>118</v>
      </c>
      <c r="M33" s="1">
        <v>98</v>
      </c>
      <c r="N33" s="1">
        <v>96</v>
      </c>
      <c r="O33" s="1">
        <f t="shared" si="0"/>
        <v>74.25</v>
      </c>
    </row>
    <row r="34" spans="1:15" x14ac:dyDescent="0.25">
      <c r="A34">
        <v>2003</v>
      </c>
      <c r="B34" s="1">
        <v>38</v>
      </c>
      <c r="C34" s="1">
        <v>96</v>
      </c>
      <c r="D34" s="1">
        <v>23</v>
      </c>
      <c r="E34" s="1">
        <v>57</v>
      </c>
      <c r="F34" s="1"/>
      <c r="G34" s="1">
        <v>95</v>
      </c>
      <c r="H34" s="1">
        <v>58</v>
      </c>
      <c r="I34" s="1">
        <v>17</v>
      </c>
      <c r="J34" s="1">
        <v>75</v>
      </c>
      <c r="K34" s="1">
        <v>19</v>
      </c>
      <c r="L34" s="1">
        <v>11</v>
      </c>
      <c r="M34" s="1">
        <v>57</v>
      </c>
      <c r="N34" s="1">
        <v>99</v>
      </c>
      <c r="O34" s="1">
        <f t="shared" si="0"/>
        <v>53.75</v>
      </c>
    </row>
    <row r="35" spans="1:15" x14ac:dyDescent="0.25">
      <c r="A35">
        <v>2004</v>
      </c>
      <c r="B35" s="1">
        <v>47</v>
      </c>
      <c r="C35" s="1">
        <v>130</v>
      </c>
      <c r="D35" s="1">
        <v>34</v>
      </c>
      <c r="E35" s="1">
        <v>46</v>
      </c>
      <c r="F35" s="1"/>
      <c r="G35" s="1">
        <v>64</v>
      </c>
      <c r="H35" s="1">
        <v>56</v>
      </c>
      <c r="I35" s="1">
        <v>48</v>
      </c>
      <c r="J35" s="1">
        <v>65</v>
      </c>
      <c r="K35" s="1">
        <v>54</v>
      </c>
      <c r="L35" s="1">
        <v>42</v>
      </c>
      <c r="M35" s="1">
        <v>58</v>
      </c>
      <c r="N35" s="1">
        <v>81</v>
      </c>
      <c r="O35" s="1">
        <f t="shared" si="0"/>
        <v>60.416666666666664</v>
      </c>
    </row>
    <row r="36" spans="1:15" x14ac:dyDescent="0.25">
      <c r="A36">
        <v>2005</v>
      </c>
      <c r="B36" s="1">
        <v>37</v>
      </c>
      <c r="C36" s="1">
        <v>89</v>
      </c>
      <c r="D36" s="1">
        <v>14</v>
      </c>
      <c r="E36" s="1">
        <v>67</v>
      </c>
      <c r="F36" s="1"/>
      <c r="G36" s="1">
        <v>70</v>
      </c>
      <c r="H36" s="1">
        <v>34</v>
      </c>
      <c r="I36" s="1">
        <v>0</v>
      </c>
      <c r="J36" s="1">
        <v>74</v>
      </c>
      <c r="K36" s="1">
        <v>18</v>
      </c>
      <c r="L36" s="1">
        <v>61</v>
      </c>
      <c r="M36" s="1">
        <v>44</v>
      </c>
      <c r="N36" s="1">
        <v>103</v>
      </c>
      <c r="O36" s="1">
        <f t="shared" si="0"/>
        <v>50.916666666666664</v>
      </c>
    </row>
    <row r="37" spans="1:15" x14ac:dyDescent="0.25">
      <c r="A37">
        <v>2006</v>
      </c>
      <c r="B37" s="1">
        <v>50</v>
      </c>
      <c r="C37" s="1">
        <v>98</v>
      </c>
      <c r="D37" s="1">
        <v>63</v>
      </c>
      <c r="E37" s="1">
        <v>78</v>
      </c>
      <c r="F37" s="1"/>
      <c r="G37" s="1">
        <v>133</v>
      </c>
      <c r="H37" s="1">
        <v>68</v>
      </c>
      <c r="I37" s="1">
        <v>51</v>
      </c>
      <c r="J37" s="1">
        <v>77</v>
      </c>
      <c r="K37" s="1">
        <v>32</v>
      </c>
      <c r="L37" s="1">
        <v>65</v>
      </c>
      <c r="M37" s="1">
        <v>38</v>
      </c>
      <c r="N37" s="1">
        <v>87</v>
      </c>
      <c r="O37" s="1">
        <f t="shared" si="0"/>
        <v>70</v>
      </c>
    </row>
    <row r="38" spans="1:15" x14ac:dyDescent="0.25">
      <c r="A38">
        <v>2007</v>
      </c>
      <c r="B38" s="1">
        <v>36</v>
      </c>
      <c r="C38" s="1">
        <v>29</v>
      </c>
      <c r="D38" s="1">
        <v>10</v>
      </c>
      <c r="E38" s="1">
        <v>0</v>
      </c>
      <c r="F38" s="1"/>
      <c r="G38" s="1">
        <v>38</v>
      </c>
      <c r="H38" s="1">
        <v>28</v>
      </c>
      <c r="I38" s="1">
        <v>15</v>
      </c>
      <c r="J38" s="1">
        <v>32</v>
      </c>
      <c r="K38" s="1">
        <v>55</v>
      </c>
      <c r="L38" s="1">
        <v>19</v>
      </c>
      <c r="M38" s="1">
        <v>42</v>
      </c>
      <c r="N38" s="1">
        <v>102</v>
      </c>
      <c r="O38" s="1">
        <f t="shared" si="0"/>
        <v>33.833333333333336</v>
      </c>
    </row>
    <row r="39" spans="1:15" x14ac:dyDescent="0.25">
      <c r="A39">
        <v>2008</v>
      </c>
      <c r="B39" s="1">
        <v>56</v>
      </c>
      <c r="C39" s="1">
        <v>144</v>
      </c>
      <c r="D39" s="1">
        <v>38</v>
      </c>
      <c r="E39" s="1">
        <v>22</v>
      </c>
      <c r="F39" s="1"/>
      <c r="G39" s="1">
        <v>98</v>
      </c>
      <c r="H39" s="1">
        <v>48</v>
      </c>
      <c r="I39" s="1">
        <v>23</v>
      </c>
      <c r="J39" s="1">
        <v>55</v>
      </c>
      <c r="K39" s="1">
        <v>0</v>
      </c>
      <c r="L39" s="1">
        <v>46</v>
      </c>
      <c r="M39" s="1">
        <v>60</v>
      </c>
      <c r="N39" s="1">
        <v>59</v>
      </c>
      <c r="O39" s="1">
        <f t="shared" si="0"/>
        <v>54.083333333333336</v>
      </c>
    </row>
    <row r="40" spans="1:15" x14ac:dyDescent="0.25">
      <c r="A40">
        <v>2009</v>
      </c>
      <c r="B40" s="1">
        <v>35</v>
      </c>
      <c r="C40" s="1">
        <v>15</v>
      </c>
      <c r="D40" s="1">
        <v>16</v>
      </c>
      <c r="E40" s="1">
        <v>32</v>
      </c>
      <c r="F40" s="1"/>
      <c r="G40" s="1">
        <v>45</v>
      </c>
      <c r="H40" s="1">
        <v>17</v>
      </c>
      <c r="I40" s="1">
        <v>21</v>
      </c>
      <c r="J40" s="1">
        <v>46</v>
      </c>
      <c r="K40" s="1">
        <v>44</v>
      </c>
      <c r="L40" s="1">
        <v>32</v>
      </c>
      <c r="M40" s="1">
        <v>37</v>
      </c>
      <c r="N40" s="1">
        <v>51</v>
      </c>
      <c r="O40" s="1">
        <f t="shared" si="0"/>
        <v>32.583333333333336</v>
      </c>
    </row>
    <row r="41" spans="1:15" x14ac:dyDescent="0.25">
      <c r="A41">
        <v>2010</v>
      </c>
      <c r="B41" s="1">
        <v>154</v>
      </c>
      <c r="C41" s="1">
        <v>62</v>
      </c>
      <c r="D41" s="1">
        <v>66</v>
      </c>
      <c r="E41" s="1">
        <v>63</v>
      </c>
      <c r="F41" s="1"/>
      <c r="G41" s="1">
        <v>82</v>
      </c>
      <c r="H41" s="1">
        <v>15</v>
      </c>
      <c r="I41" s="1">
        <v>18</v>
      </c>
      <c r="J41" s="1">
        <v>105</v>
      </c>
      <c r="K41" s="1">
        <v>73</v>
      </c>
      <c r="L41" s="1">
        <v>74</v>
      </c>
      <c r="M41" s="1">
        <v>62</v>
      </c>
      <c r="N41" s="1">
        <v>97</v>
      </c>
      <c r="O41" s="1">
        <f t="shared" si="0"/>
        <v>72.583333333333329</v>
      </c>
    </row>
    <row r="42" spans="1:15" x14ac:dyDescent="0.25">
      <c r="A42">
        <v>2011</v>
      </c>
      <c r="B42" s="1">
        <v>141</v>
      </c>
      <c r="C42" s="1">
        <v>68</v>
      </c>
      <c r="D42" s="1">
        <v>31</v>
      </c>
      <c r="E42" s="1">
        <v>55</v>
      </c>
      <c r="F42" s="1"/>
      <c r="G42" s="1">
        <v>121</v>
      </c>
      <c r="H42" s="1">
        <v>33</v>
      </c>
      <c r="I42" s="1">
        <v>22</v>
      </c>
      <c r="J42" s="1">
        <v>102</v>
      </c>
      <c r="K42" s="1">
        <v>52</v>
      </c>
      <c r="L42" s="1">
        <v>69</v>
      </c>
      <c r="M42" s="1">
        <v>43</v>
      </c>
      <c r="N42" s="1">
        <v>65</v>
      </c>
      <c r="O42" s="1">
        <f t="shared" si="0"/>
        <v>66.833333333333329</v>
      </c>
    </row>
    <row r="43" spans="1:15" x14ac:dyDescent="0.25">
      <c r="A43">
        <v>2012</v>
      </c>
      <c r="B43" s="1">
        <v>65</v>
      </c>
      <c r="C43" s="1">
        <v>68</v>
      </c>
      <c r="D43" s="1">
        <v>68</v>
      </c>
      <c r="E43" s="1">
        <v>87</v>
      </c>
      <c r="F43" s="1"/>
      <c r="G43" s="1">
        <v>99</v>
      </c>
      <c r="H43" s="1">
        <v>81</v>
      </c>
      <c r="I43" s="1">
        <v>65</v>
      </c>
      <c r="J43" s="1">
        <v>83</v>
      </c>
      <c r="K43" s="1">
        <v>167</v>
      </c>
      <c r="L43" s="1">
        <v>53</v>
      </c>
      <c r="M43" s="1">
        <v>48</v>
      </c>
      <c r="N43" s="1">
        <v>91</v>
      </c>
      <c r="O43" s="1">
        <f t="shared" si="0"/>
        <v>81.25</v>
      </c>
    </row>
    <row r="44" spans="1:15" x14ac:dyDescent="0.25">
      <c r="A44">
        <v>2013</v>
      </c>
      <c r="B44" s="1">
        <v>140</v>
      </c>
      <c r="C44" s="1">
        <v>68</v>
      </c>
      <c r="D44" s="1">
        <v>47</v>
      </c>
      <c r="E44" s="1">
        <v>54</v>
      </c>
      <c r="F44" s="1"/>
      <c r="G44" s="1">
        <v>112</v>
      </c>
      <c r="H44" s="1">
        <v>44</v>
      </c>
      <c r="I44" s="1">
        <v>21</v>
      </c>
      <c r="J44" s="1">
        <v>95</v>
      </c>
      <c r="K44" s="1">
        <v>56</v>
      </c>
      <c r="L44" s="1">
        <v>78</v>
      </c>
      <c r="M44" s="1">
        <v>58</v>
      </c>
      <c r="N44" s="1">
        <v>145</v>
      </c>
      <c r="O44" s="1">
        <f t="shared" si="0"/>
        <v>76.5</v>
      </c>
    </row>
    <row r="45" spans="1:15" x14ac:dyDescent="0.25">
      <c r="A45">
        <v>2014</v>
      </c>
      <c r="B45" s="1">
        <v>66</v>
      </c>
      <c r="C45" s="1">
        <v>89</v>
      </c>
      <c r="D45" s="1">
        <v>25</v>
      </c>
      <c r="E45" s="1">
        <v>37</v>
      </c>
      <c r="F45" s="1"/>
      <c r="G45" s="1">
        <v>88</v>
      </c>
      <c r="H45" s="1">
        <v>81</v>
      </c>
      <c r="I45" s="1">
        <v>36</v>
      </c>
      <c r="J45" s="1">
        <v>65</v>
      </c>
      <c r="K45" s="1">
        <v>52</v>
      </c>
      <c r="L45" s="1">
        <v>65</v>
      </c>
      <c r="M45" s="1">
        <v>90</v>
      </c>
      <c r="N45" s="1">
        <v>108</v>
      </c>
      <c r="O45" s="1">
        <f t="shared" si="0"/>
        <v>66.833333333333329</v>
      </c>
    </row>
    <row r="46" spans="1:15" x14ac:dyDescent="0.25">
      <c r="A46">
        <v>2015</v>
      </c>
      <c r="B46" s="1">
        <v>46</v>
      </c>
      <c r="C46" s="1">
        <v>65</v>
      </c>
      <c r="D46" s="1">
        <v>15</v>
      </c>
      <c r="E46" s="1">
        <v>46</v>
      </c>
      <c r="F46" s="1"/>
      <c r="G46" s="1">
        <v>90</v>
      </c>
      <c r="H46" s="1">
        <v>81</v>
      </c>
      <c r="I46" s="1">
        <v>35</v>
      </c>
      <c r="J46" s="1">
        <v>73</v>
      </c>
      <c r="K46" s="1">
        <v>15</v>
      </c>
      <c r="L46" s="1">
        <v>53</v>
      </c>
      <c r="M46" s="1">
        <v>100</v>
      </c>
      <c r="N46" s="1">
        <v>90</v>
      </c>
      <c r="O46" s="1">
        <f t="shared" si="0"/>
        <v>59.083333333333336</v>
      </c>
    </row>
    <row r="47" spans="1:15" x14ac:dyDescent="0.25">
      <c r="A47">
        <v>2016</v>
      </c>
      <c r="B47" s="1">
        <v>64</v>
      </c>
      <c r="C47" s="1">
        <v>102</v>
      </c>
      <c r="D47" s="1">
        <v>37</v>
      </c>
      <c r="E47" s="1">
        <v>106</v>
      </c>
      <c r="F47" s="1"/>
      <c r="G47" s="1">
        <v>121</v>
      </c>
      <c r="H47" s="1">
        <v>63</v>
      </c>
      <c r="I47" s="1">
        <v>38</v>
      </c>
      <c r="J47" s="1">
        <v>70</v>
      </c>
      <c r="K47" s="1">
        <v>36</v>
      </c>
      <c r="L47" s="1">
        <v>55</v>
      </c>
      <c r="M47" s="1">
        <v>68</v>
      </c>
      <c r="N47" s="1">
        <v>172</v>
      </c>
      <c r="O47" s="1">
        <f t="shared" si="0"/>
        <v>77.666666666666671</v>
      </c>
    </row>
    <row r="48" spans="1:15" x14ac:dyDescent="0.25">
      <c r="A48">
        <v>2017</v>
      </c>
      <c r="B48" s="1">
        <v>69</v>
      </c>
      <c r="C48" s="1">
        <v>128</v>
      </c>
      <c r="D48" s="1">
        <v>58</v>
      </c>
      <c r="E48" s="1">
        <v>68</v>
      </c>
      <c r="F48" s="1"/>
      <c r="G48" s="1">
        <v>96</v>
      </c>
      <c r="H48" s="1">
        <v>101</v>
      </c>
      <c r="I48" s="1">
        <v>29</v>
      </c>
      <c r="J48" s="1">
        <v>86</v>
      </c>
      <c r="K48" s="1">
        <v>95</v>
      </c>
      <c r="L48" s="1">
        <v>83</v>
      </c>
      <c r="M48" s="1">
        <v>100</v>
      </c>
      <c r="N48" s="1">
        <v>212</v>
      </c>
      <c r="O48" s="1">
        <f t="shared" si="0"/>
        <v>93.75</v>
      </c>
    </row>
    <row r="49" spans="1:15" x14ac:dyDescent="0.25">
      <c r="A49">
        <v>2018</v>
      </c>
      <c r="B49" s="1">
        <v>56</v>
      </c>
      <c r="C49" s="1">
        <v>52</v>
      </c>
      <c r="D49" s="1">
        <v>56</v>
      </c>
      <c r="E49" s="1">
        <v>67</v>
      </c>
      <c r="F49" s="1"/>
      <c r="G49" s="1">
        <v>126</v>
      </c>
      <c r="H49" s="1">
        <v>29</v>
      </c>
      <c r="I49" s="1">
        <v>22</v>
      </c>
      <c r="J49" s="1">
        <v>60</v>
      </c>
      <c r="K49" s="1">
        <v>73</v>
      </c>
      <c r="L49" s="1">
        <v>72</v>
      </c>
      <c r="M49" s="1">
        <v>56</v>
      </c>
      <c r="N49" s="1">
        <v>114</v>
      </c>
      <c r="O49" s="1">
        <f t="shared" si="0"/>
        <v>65.25</v>
      </c>
    </row>
    <row r="50" spans="1:15" x14ac:dyDescent="0.25">
      <c r="A50">
        <v>2019</v>
      </c>
      <c r="B50" s="1">
        <v>110</v>
      </c>
      <c r="C50" s="1">
        <v>88</v>
      </c>
      <c r="D50" s="1">
        <v>94</v>
      </c>
      <c r="E50" s="1">
        <v>62</v>
      </c>
      <c r="F50" s="1"/>
      <c r="G50" s="1">
        <v>179</v>
      </c>
      <c r="H50" s="1">
        <v>56</v>
      </c>
      <c r="I50" s="1">
        <v>58</v>
      </c>
      <c r="J50" s="1">
        <v>125</v>
      </c>
      <c r="K50" s="1">
        <v>67</v>
      </c>
      <c r="L50" s="1">
        <v>95</v>
      </c>
      <c r="M50" s="1">
        <v>59</v>
      </c>
      <c r="N50" s="1">
        <v>207</v>
      </c>
      <c r="O50" s="1">
        <f t="shared" si="0"/>
        <v>100</v>
      </c>
    </row>
    <row r="51" spans="1:15" x14ac:dyDescent="0.25">
      <c r="A51">
        <v>2020</v>
      </c>
      <c r="B51" s="1">
        <v>73</v>
      </c>
      <c r="C51" s="1">
        <v>23</v>
      </c>
      <c r="D51" s="1">
        <v>7</v>
      </c>
      <c r="E51" s="1">
        <v>16</v>
      </c>
      <c r="F51" s="1"/>
      <c r="G51" s="1">
        <v>45</v>
      </c>
      <c r="H51" s="1">
        <v>25</v>
      </c>
      <c r="I51" s="1">
        <v>0</v>
      </c>
      <c r="J51" s="1">
        <v>59</v>
      </c>
      <c r="K51" s="1">
        <v>42</v>
      </c>
      <c r="L51" s="1">
        <v>23</v>
      </c>
      <c r="M51" s="1">
        <v>53</v>
      </c>
      <c r="N51" s="1">
        <v>95</v>
      </c>
      <c r="O51" s="1">
        <f t="shared" si="0"/>
        <v>38.416666666666664</v>
      </c>
    </row>
    <row r="52" spans="1:15" x14ac:dyDescent="0.25">
      <c r="A52">
        <v>2021</v>
      </c>
      <c r="B52" s="1">
        <v>90</v>
      </c>
      <c r="C52" s="1">
        <v>74</v>
      </c>
      <c r="D52" s="1">
        <v>18</v>
      </c>
      <c r="E52" s="1">
        <v>42</v>
      </c>
      <c r="F52" s="1"/>
      <c r="G52" s="1">
        <v>92</v>
      </c>
      <c r="H52" s="1">
        <v>63</v>
      </c>
      <c r="I52" s="1">
        <v>17</v>
      </c>
      <c r="J52" s="1">
        <v>101</v>
      </c>
      <c r="K52" s="1">
        <v>24</v>
      </c>
      <c r="L52" s="1">
        <v>67</v>
      </c>
      <c r="M52" s="1">
        <v>70</v>
      </c>
      <c r="N52" s="1">
        <v>112</v>
      </c>
      <c r="O52" s="1">
        <f t="shared" si="0"/>
        <v>64.166666666666671</v>
      </c>
    </row>
    <row r="53" spans="1:15" x14ac:dyDescent="0.25">
      <c r="A53">
        <v>2022</v>
      </c>
      <c r="B53" s="1">
        <v>68</v>
      </c>
      <c r="C53" s="1">
        <v>75</v>
      </c>
      <c r="D53" s="1">
        <v>47</v>
      </c>
      <c r="E53" s="1">
        <v>47</v>
      </c>
      <c r="F53" s="1"/>
      <c r="G53" s="1">
        <v>175</v>
      </c>
      <c r="H53" s="1">
        <v>56</v>
      </c>
      <c r="I53" s="1">
        <v>20</v>
      </c>
      <c r="J53" s="1">
        <v>114</v>
      </c>
      <c r="K53" s="1">
        <v>59</v>
      </c>
      <c r="L53" s="1">
        <v>59</v>
      </c>
      <c r="M53" s="1">
        <v>69</v>
      </c>
      <c r="N53" s="1">
        <v>236</v>
      </c>
      <c r="O53" s="1">
        <f t="shared" si="0"/>
        <v>85.416666666666671</v>
      </c>
    </row>
    <row r="54" spans="1:15" x14ac:dyDescent="0.25">
      <c r="A54">
        <v>2023</v>
      </c>
      <c r="B54" s="1">
        <v>66</v>
      </c>
      <c r="C54" s="1">
        <v>53</v>
      </c>
      <c r="D54" s="1">
        <v>12</v>
      </c>
      <c r="E54" s="1">
        <v>26</v>
      </c>
      <c r="F54" s="1"/>
      <c r="G54" s="1">
        <v>56</v>
      </c>
      <c r="H54" s="1">
        <v>11</v>
      </c>
      <c r="I54" s="1">
        <v>38</v>
      </c>
      <c r="J54" s="1">
        <v>54</v>
      </c>
      <c r="K54" s="1">
        <v>14</v>
      </c>
      <c r="L54" s="1">
        <v>61</v>
      </c>
      <c r="M54" s="1">
        <v>67</v>
      </c>
      <c r="N54" s="1">
        <v>46</v>
      </c>
      <c r="O54" s="1">
        <f t="shared" si="0"/>
        <v>42</v>
      </c>
    </row>
    <row r="55" spans="1:15" x14ac:dyDescent="0.25">
      <c r="A55">
        <v>2024</v>
      </c>
      <c r="B55" s="1">
        <v>60</v>
      </c>
      <c r="C55" s="1">
        <v>33</v>
      </c>
      <c r="D55" s="1">
        <v>22</v>
      </c>
      <c r="E55" s="1">
        <v>32</v>
      </c>
      <c r="F55" s="1"/>
      <c r="G55" s="1">
        <v>66</v>
      </c>
      <c r="H55" s="1">
        <v>54</v>
      </c>
      <c r="I55" s="1">
        <v>17</v>
      </c>
      <c r="J55" s="1">
        <v>43</v>
      </c>
      <c r="K55" s="1">
        <v>61</v>
      </c>
      <c r="L55" s="1">
        <v>19</v>
      </c>
      <c r="M55" s="1">
        <v>50</v>
      </c>
      <c r="N55" s="1">
        <v>0</v>
      </c>
      <c r="O55" s="1">
        <f t="shared" si="0"/>
        <v>38.083333333333336</v>
      </c>
    </row>
    <row r="56" spans="1:15" x14ac:dyDescent="0.25">
      <c r="A56">
        <v>2025</v>
      </c>
      <c r="B56" s="1">
        <v>55</v>
      </c>
      <c r="C56" s="1">
        <v>80</v>
      </c>
      <c r="D56" s="1">
        <v>29</v>
      </c>
      <c r="E56" s="1">
        <v>22</v>
      </c>
      <c r="F56" s="1"/>
      <c r="G56" s="1">
        <v>108</v>
      </c>
      <c r="H56" s="1">
        <v>74</v>
      </c>
      <c r="I56" s="1">
        <v>35</v>
      </c>
      <c r="J56" s="1">
        <v>74</v>
      </c>
      <c r="K56" s="1">
        <v>25</v>
      </c>
      <c r="L56" s="1">
        <v>37</v>
      </c>
      <c r="M56" s="1">
        <v>63</v>
      </c>
      <c r="N56" s="1">
        <v>44</v>
      </c>
      <c r="O56" s="1">
        <f t="shared" si="0"/>
        <v>53.833333333333336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6"/>
  <sheetViews>
    <sheetView workbookViewId="0">
      <selection activeCell="Q1" sqref="Q1"/>
    </sheetView>
  </sheetViews>
  <sheetFormatPr defaultRowHeight="15" x14ac:dyDescent="0.25"/>
  <sheetData>
    <row r="1" spans="1:18" ht="75" x14ac:dyDescent="0.25">
      <c r="B1" t="s">
        <v>120</v>
      </c>
      <c r="C1" t="s">
        <v>121</v>
      </c>
      <c r="D1" t="s">
        <v>122</v>
      </c>
      <c r="E1" t="s">
        <v>123</v>
      </c>
      <c r="F1" t="s">
        <v>124</v>
      </c>
      <c r="G1" t="s">
        <v>125</v>
      </c>
      <c r="H1" t="s">
        <v>126</v>
      </c>
      <c r="I1" t="s">
        <v>127</v>
      </c>
      <c r="J1" t="s">
        <v>128</v>
      </c>
      <c r="K1" t="s">
        <v>129</v>
      </c>
      <c r="L1" t="s">
        <v>130</v>
      </c>
      <c r="M1" t="s">
        <v>131</v>
      </c>
      <c r="N1" t="s">
        <v>132</v>
      </c>
      <c r="O1" t="s">
        <v>133</v>
      </c>
      <c r="P1" t="s">
        <v>134</v>
      </c>
      <c r="Q1" s="3" t="s">
        <v>213</v>
      </c>
    </row>
    <row r="2" spans="1:18" x14ac:dyDescent="0.25">
      <c r="A2">
        <v>1971</v>
      </c>
      <c r="B2" s="1">
        <v>23</v>
      </c>
      <c r="C2" s="1">
        <v>0</v>
      </c>
      <c r="D2" s="1">
        <v>89</v>
      </c>
      <c r="E2" s="1">
        <v>28</v>
      </c>
      <c r="F2" s="1">
        <v>60</v>
      </c>
      <c r="G2" s="1">
        <v>45</v>
      </c>
      <c r="H2" s="1">
        <v>99</v>
      </c>
      <c r="I2" s="1">
        <v>58</v>
      </c>
      <c r="J2" s="1"/>
      <c r="K2" s="1">
        <v>94</v>
      </c>
      <c r="L2" s="1">
        <v>101</v>
      </c>
      <c r="M2" s="1">
        <v>53</v>
      </c>
      <c r="N2" s="1">
        <v>26</v>
      </c>
      <c r="O2" s="1">
        <v>26</v>
      </c>
      <c r="P2" s="1">
        <v>0</v>
      </c>
      <c r="Q2" s="1">
        <f>AVERAGE(B2:P2)</f>
        <v>50.142857142857146</v>
      </c>
      <c r="R2" s="1"/>
    </row>
    <row r="3" spans="1:18" x14ac:dyDescent="0.25">
      <c r="A3">
        <v>1972</v>
      </c>
      <c r="B3" s="1">
        <v>25</v>
      </c>
      <c r="C3" s="1">
        <v>0</v>
      </c>
      <c r="D3" s="1">
        <v>96</v>
      </c>
      <c r="E3" s="1">
        <v>23</v>
      </c>
      <c r="F3" s="1">
        <v>64</v>
      </c>
      <c r="G3" s="1">
        <v>54</v>
      </c>
      <c r="H3" s="1">
        <v>69</v>
      </c>
      <c r="I3" s="1">
        <v>59</v>
      </c>
      <c r="J3" s="1"/>
      <c r="K3" s="1">
        <v>31</v>
      </c>
      <c r="L3" s="1">
        <v>218</v>
      </c>
      <c r="M3" s="1">
        <v>65</v>
      </c>
      <c r="N3" s="1">
        <v>28</v>
      </c>
      <c r="O3" s="1">
        <v>28</v>
      </c>
      <c r="P3" s="1">
        <v>0</v>
      </c>
      <c r="Q3" s="1">
        <f t="shared" ref="Q3:Q56" si="0">AVERAGE(B3:P3)</f>
        <v>54.285714285714285</v>
      </c>
      <c r="R3" s="1"/>
    </row>
    <row r="4" spans="1:18" x14ac:dyDescent="0.25">
      <c r="A4">
        <v>1973</v>
      </c>
      <c r="B4" s="1">
        <v>31</v>
      </c>
      <c r="C4" s="1">
        <v>0</v>
      </c>
      <c r="D4" s="1">
        <v>102</v>
      </c>
      <c r="E4" s="1">
        <v>17</v>
      </c>
      <c r="F4" s="1">
        <v>81</v>
      </c>
      <c r="G4" s="1">
        <v>52</v>
      </c>
      <c r="H4" s="1">
        <v>87</v>
      </c>
      <c r="I4" s="1">
        <v>117</v>
      </c>
      <c r="J4" s="1"/>
      <c r="K4" s="1">
        <v>51</v>
      </c>
      <c r="L4" s="1">
        <v>165</v>
      </c>
      <c r="M4" s="1">
        <v>84</v>
      </c>
      <c r="N4" s="1">
        <v>14</v>
      </c>
      <c r="O4" s="1">
        <v>14</v>
      </c>
      <c r="P4" s="1">
        <v>0</v>
      </c>
      <c r="Q4" s="1">
        <f t="shared" si="0"/>
        <v>58.214285714285715</v>
      </c>
      <c r="R4" s="1"/>
    </row>
    <row r="5" spans="1:18" x14ac:dyDescent="0.25">
      <c r="A5">
        <v>1974</v>
      </c>
      <c r="B5" s="1">
        <v>20</v>
      </c>
      <c r="C5" s="1">
        <v>0</v>
      </c>
      <c r="D5" s="1">
        <v>58</v>
      </c>
      <c r="E5" s="1">
        <v>18</v>
      </c>
      <c r="F5" s="1">
        <v>31</v>
      </c>
      <c r="G5" s="1">
        <v>40</v>
      </c>
      <c r="H5" s="1">
        <v>54</v>
      </c>
      <c r="I5" s="1">
        <v>73</v>
      </c>
      <c r="J5" s="1"/>
      <c r="K5" s="1">
        <v>36</v>
      </c>
      <c r="L5" s="1">
        <v>166</v>
      </c>
      <c r="M5" s="1">
        <v>60</v>
      </c>
      <c r="N5" s="1">
        <v>21</v>
      </c>
      <c r="O5" s="1">
        <v>21</v>
      </c>
      <c r="P5" s="1">
        <v>20</v>
      </c>
      <c r="Q5" s="1">
        <f t="shared" si="0"/>
        <v>44.142857142857146</v>
      </c>
      <c r="R5" s="1"/>
    </row>
    <row r="6" spans="1:18" x14ac:dyDescent="0.25">
      <c r="A6">
        <v>1975</v>
      </c>
      <c r="B6" s="1">
        <v>14</v>
      </c>
      <c r="C6" s="1">
        <v>0</v>
      </c>
      <c r="D6" s="1">
        <v>65</v>
      </c>
      <c r="E6" s="1">
        <v>14</v>
      </c>
      <c r="F6" s="1">
        <v>58</v>
      </c>
      <c r="G6" s="1">
        <v>30</v>
      </c>
      <c r="H6" s="1">
        <v>56</v>
      </c>
      <c r="I6" s="1">
        <v>48</v>
      </c>
      <c r="J6" s="1"/>
      <c r="K6" s="1">
        <v>32</v>
      </c>
      <c r="L6" s="1">
        <v>99</v>
      </c>
      <c r="M6" s="1">
        <v>41</v>
      </c>
      <c r="N6" s="1">
        <v>25</v>
      </c>
      <c r="O6" s="1">
        <v>25</v>
      </c>
      <c r="P6" s="1">
        <v>27</v>
      </c>
      <c r="Q6" s="1">
        <f t="shared" si="0"/>
        <v>38.142857142857146</v>
      </c>
      <c r="R6" s="1"/>
    </row>
    <row r="7" spans="1:18" x14ac:dyDescent="0.25">
      <c r="A7">
        <v>1976</v>
      </c>
      <c r="B7" s="1">
        <v>22</v>
      </c>
      <c r="C7" s="1">
        <v>0</v>
      </c>
      <c r="D7" s="1">
        <v>81</v>
      </c>
      <c r="E7" s="1">
        <v>0</v>
      </c>
      <c r="F7" s="1">
        <v>60</v>
      </c>
      <c r="G7" s="1">
        <v>39</v>
      </c>
      <c r="H7" s="1">
        <v>104</v>
      </c>
      <c r="I7" s="1">
        <v>90</v>
      </c>
      <c r="J7" s="1"/>
      <c r="K7" s="1">
        <v>58</v>
      </c>
      <c r="L7" s="1">
        <v>124</v>
      </c>
      <c r="M7" s="1">
        <v>60</v>
      </c>
      <c r="N7" s="1">
        <v>25</v>
      </c>
      <c r="O7" s="1">
        <v>25</v>
      </c>
      <c r="P7" s="1">
        <v>26</v>
      </c>
      <c r="Q7" s="1">
        <f t="shared" si="0"/>
        <v>51</v>
      </c>
      <c r="R7" s="1"/>
    </row>
    <row r="8" spans="1:18" x14ac:dyDescent="0.25">
      <c r="A8">
        <v>1977</v>
      </c>
      <c r="B8" s="1">
        <v>55</v>
      </c>
      <c r="C8" s="1">
        <v>0</v>
      </c>
      <c r="D8" s="1">
        <v>105</v>
      </c>
      <c r="E8" s="1">
        <v>42</v>
      </c>
      <c r="F8" s="1">
        <v>69</v>
      </c>
      <c r="G8" s="1">
        <v>63</v>
      </c>
      <c r="H8" s="1">
        <v>93</v>
      </c>
      <c r="I8" s="1">
        <v>90</v>
      </c>
      <c r="J8" s="1"/>
      <c r="K8" s="1">
        <v>80</v>
      </c>
      <c r="L8" s="1">
        <v>137</v>
      </c>
      <c r="M8" s="1">
        <v>62</v>
      </c>
      <c r="N8" s="1">
        <v>31</v>
      </c>
      <c r="O8" s="1">
        <v>31</v>
      </c>
      <c r="P8" s="1">
        <v>42</v>
      </c>
      <c r="Q8" s="1">
        <f t="shared" si="0"/>
        <v>64.285714285714292</v>
      </c>
      <c r="R8" s="1"/>
    </row>
    <row r="9" spans="1:18" x14ac:dyDescent="0.25">
      <c r="A9">
        <v>1978</v>
      </c>
      <c r="B9" s="1">
        <v>43.26</v>
      </c>
      <c r="C9" s="1">
        <v>61.6</v>
      </c>
      <c r="D9" s="1">
        <v>86.4</v>
      </c>
      <c r="E9" s="1">
        <v>35.200000000000003</v>
      </c>
      <c r="F9" s="1">
        <v>45.6</v>
      </c>
      <c r="G9" s="1">
        <v>41.64</v>
      </c>
      <c r="H9" s="1">
        <v>77.5</v>
      </c>
      <c r="I9" s="1">
        <v>87</v>
      </c>
      <c r="J9" s="1"/>
      <c r="K9" s="1">
        <v>28.6</v>
      </c>
      <c r="L9" s="1">
        <v>93</v>
      </c>
      <c r="M9" s="1">
        <v>48</v>
      </c>
      <c r="N9" s="1">
        <v>0</v>
      </c>
      <c r="O9" s="1">
        <v>23.1</v>
      </c>
      <c r="P9" s="1">
        <v>39.1</v>
      </c>
      <c r="Q9" s="1">
        <f t="shared" si="0"/>
        <v>50.714285714285715</v>
      </c>
      <c r="R9" s="1"/>
    </row>
    <row r="10" spans="1:18" x14ac:dyDescent="0.25">
      <c r="A10">
        <v>1979</v>
      </c>
      <c r="B10" s="1">
        <v>23.52</v>
      </c>
      <c r="C10" s="1">
        <v>37.700000000000003</v>
      </c>
      <c r="D10" s="1">
        <v>93.62</v>
      </c>
      <c r="E10" s="1">
        <v>20.3</v>
      </c>
      <c r="F10" s="1">
        <v>55.1</v>
      </c>
      <c r="G10" s="1">
        <v>35.200000000000003</v>
      </c>
      <c r="H10" s="1">
        <v>73.599999999999994</v>
      </c>
      <c r="I10" s="1">
        <v>93.03</v>
      </c>
      <c r="J10" s="1"/>
      <c r="K10" s="1">
        <v>54.01</v>
      </c>
      <c r="L10" s="1">
        <v>158.4</v>
      </c>
      <c r="M10" s="1">
        <v>37.799999999999997</v>
      </c>
      <c r="N10" s="1">
        <v>42</v>
      </c>
      <c r="O10" s="1">
        <v>36</v>
      </c>
      <c r="P10" s="1">
        <v>64.599999999999994</v>
      </c>
      <c r="Q10" s="1">
        <f t="shared" si="0"/>
        <v>58.919999999999995</v>
      </c>
      <c r="R10" s="1"/>
    </row>
    <row r="11" spans="1:18" x14ac:dyDescent="0.25">
      <c r="A11">
        <v>1980</v>
      </c>
      <c r="B11" s="1">
        <v>13.3</v>
      </c>
      <c r="C11" s="1">
        <v>0</v>
      </c>
      <c r="D11" s="1">
        <v>42.5</v>
      </c>
      <c r="E11" s="1">
        <v>15.4</v>
      </c>
      <c r="F11" s="1">
        <v>9</v>
      </c>
      <c r="G11" s="1">
        <v>16</v>
      </c>
      <c r="H11" s="1">
        <v>27</v>
      </c>
      <c r="I11" s="1">
        <v>63</v>
      </c>
      <c r="J11" s="1"/>
      <c r="K11" s="1">
        <v>30.8</v>
      </c>
      <c r="L11" s="1">
        <v>50.4</v>
      </c>
      <c r="M11" s="1">
        <v>12.6</v>
      </c>
      <c r="N11" s="1">
        <v>26</v>
      </c>
      <c r="O11" s="1">
        <v>16.2</v>
      </c>
      <c r="P11" s="1">
        <v>27.2</v>
      </c>
      <c r="Q11" s="1">
        <f t="shared" si="0"/>
        <v>24.957142857142856</v>
      </c>
      <c r="R11" s="1"/>
    </row>
    <row r="12" spans="1:18" x14ac:dyDescent="0.25">
      <c r="A12">
        <v>1981</v>
      </c>
      <c r="B12" s="1">
        <v>46</v>
      </c>
      <c r="C12" s="1">
        <v>58.8</v>
      </c>
      <c r="D12" s="1">
        <v>102.4</v>
      </c>
      <c r="E12" s="1">
        <v>7.5</v>
      </c>
      <c r="F12" s="1">
        <v>36</v>
      </c>
      <c r="G12" s="1">
        <v>36.299999999999997</v>
      </c>
      <c r="H12" s="1">
        <v>87</v>
      </c>
      <c r="I12" s="1">
        <v>69.599999999999994</v>
      </c>
      <c r="J12" s="1"/>
      <c r="K12" s="1">
        <v>55.2</v>
      </c>
      <c r="L12" s="1">
        <v>110.4</v>
      </c>
      <c r="M12" s="1">
        <v>27.6</v>
      </c>
      <c r="N12" s="1">
        <v>39.1</v>
      </c>
      <c r="O12" s="1">
        <v>0</v>
      </c>
      <c r="P12" s="1">
        <v>16.2</v>
      </c>
      <c r="Q12" s="1">
        <f t="shared" si="0"/>
        <v>49.435714285714297</v>
      </c>
      <c r="R12" s="1"/>
    </row>
    <row r="13" spans="1:18" x14ac:dyDescent="0.25">
      <c r="A13">
        <v>1982</v>
      </c>
      <c r="B13" s="1">
        <v>62.4</v>
      </c>
      <c r="C13" s="1">
        <v>87</v>
      </c>
      <c r="D13" s="1">
        <v>81.2</v>
      </c>
      <c r="E13" s="1">
        <v>30.8</v>
      </c>
      <c r="F13" s="1">
        <v>43.7</v>
      </c>
      <c r="G13" s="1">
        <v>39.6</v>
      </c>
      <c r="H13" s="1">
        <v>93</v>
      </c>
      <c r="I13" s="1">
        <v>82.8</v>
      </c>
      <c r="J13" s="1"/>
      <c r="K13" s="1">
        <v>49.6</v>
      </c>
      <c r="L13" s="1">
        <v>0</v>
      </c>
      <c r="M13" s="1">
        <v>0</v>
      </c>
      <c r="N13" s="1">
        <v>40.799999999999997</v>
      </c>
      <c r="O13" s="1">
        <v>28</v>
      </c>
      <c r="P13" s="1">
        <v>40.799999999999997</v>
      </c>
      <c r="Q13" s="1">
        <f t="shared" si="0"/>
        <v>48.55</v>
      </c>
      <c r="R13" s="1"/>
    </row>
    <row r="14" spans="1:18" x14ac:dyDescent="0.25">
      <c r="A14">
        <v>1983</v>
      </c>
      <c r="B14" s="1">
        <v>10.8</v>
      </c>
      <c r="C14" s="1">
        <v>43.4</v>
      </c>
      <c r="D14" s="1">
        <v>38</v>
      </c>
      <c r="E14" s="1">
        <v>22</v>
      </c>
      <c r="F14" s="1">
        <v>24</v>
      </c>
      <c r="G14" s="1">
        <v>25.9</v>
      </c>
      <c r="H14" s="1">
        <v>99.9</v>
      </c>
      <c r="I14" s="1">
        <v>59.4</v>
      </c>
      <c r="J14" s="1"/>
      <c r="K14" s="1">
        <v>61.6</v>
      </c>
      <c r="L14" s="1">
        <v>85.8</v>
      </c>
      <c r="M14" s="1">
        <v>34.31</v>
      </c>
      <c r="N14" s="1">
        <v>38</v>
      </c>
      <c r="O14" s="1">
        <v>30.6</v>
      </c>
      <c r="P14" s="1">
        <v>27.3</v>
      </c>
      <c r="Q14" s="1">
        <f t="shared" si="0"/>
        <v>42.929285714285712</v>
      </c>
      <c r="R14" s="1"/>
    </row>
    <row r="15" spans="1:18" x14ac:dyDescent="0.25">
      <c r="A15">
        <v>1984</v>
      </c>
      <c r="B15" s="1">
        <v>26.6</v>
      </c>
      <c r="C15" s="1">
        <v>32.200000000000003</v>
      </c>
      <c r="D15" s="1">
        <v>75.599999999999994</v>
      </c>
      <c r="E15" s="1">
        <v>20.8</v>
      </c>
      <c r="F15" s="1">
        <v>64.400000000000006</v>
      </c>
      <c r="G15" s="1">
        <v>24.8</v>
      </c>
      <c r="H15" s="1">
        <v>56.1</v>
      </c>
      <c r="I15" s="1">
        <v>61.2</v>
      </c>
      <c r="J15" s="1"/>
      <c r="K15" s="1">
        <v>54.4</v>
      </c>
      <c r="L15" s="1">
        <v>72</v>
      </c>
      <c r="M15" s="1">
        <v>37.4</v>
      </c>
      <c r="N15" s="1">
        <v>27.5</v>
      </c>
      <c r="O15" s="1">
        <v>20.7</v>
      </c>
      <c r="P15" s="1">
        <v>30.8</v>
      </c>
      <c r="Q15" s="1">
        <f t="shared" si="0"/>
        <v>43.178571428571431</v>
      </c>
      <c r="R15" s="1"/>
    </row>
    <row r="16" spans="1:18" x14ac:dyDescent="0.25">
      <c r="A16">
        <v>1985</v>
      </c>
      <c r="B16" s="1">
        <v>21</v>
      </c>
      <c r="C16" s="1">
        <v>60</v>
      </c>
      <c r="D16" s="1">
        <v>62.1</v>
      </c>
      <c r="E16" s="1">
        <v>15.4</v>
      </c>
      <c r="F16" s="1">
        <v>30.4</v>
      </c>
      <c r="G16" s="1">
        <v>40</v>
      </c>
      <c r="H16" s="1">
        <v>89.1</v>
      </c>
      <c r="I16" s="1">
        <v>99</v>
      </c>
      <c r="J16" s="1"/>
      <c r="K16" s="1">
        <v>49.72</v>
      </c>
      <c r="L16" s="1">
        <v>70</v>
      </c>
      <c r="M16" s="1">
        <v>123</v>
      </c>
      <c r="N16" s="1">
        <v>55.5</v>
      </c>
      <c r="O16" s="1">
        <v>27</v>
      </c>
      <c r="P16" s="1">
        <v>28.6</v>
      </c>
      <c r="Q16" s="1">
        <f t="shared" si="0"/>
        <v>55.058571428571433</v>
      </c>
      <c r="R16" s="1"/>
    </row>
    <row r="17" spans="1:18" x14ac:dyDescent="0.25">
      <c r="A17">
        <v>1986</v>
      </c>
      <c r="B17" s="1">
        <v>33</v>
      </c>
      <c r="C17" s="1">
        <v>61</v>
      </c>
      <c r="D17" s="1">
        <v>90</v>
      </c>
      <c r="E17" s="1">
        <v>36</v>
      </c>
      <c r="F17" s="1">
        <v>36</v>
      </c>
      <c r="G17" s="1">
        <v>34</v>
      </c>
      <c r="H17" s="1">
        <v>79</v>
      </c>
      <c r="I17" s="1">
        <v>77</v>
      </c>
      <c r="J17" s="1"/>
      <c r="K17" s="1">
        <v>42</v>
      </c>
      <c r="L17" s="1">
        <v>90</v>
      </c>
      <c r="M17" s="1">
        <v>67</v>
      </c>
      <c r="N17" s="1">
        <v>40</v>
      </c>
      <c r="O17" s="1">
        <v>30</v>
      </c>
      <c r="P17" s="1">
        <v>34</v>
      </c>
      <c r="Q17" s="1">
        <f t="shared" si="0"/>
        <v>53.5</v>
      </c>
      <c r="R17" s="1"/>
    </row>
    <row r="18" spans="1:18" x14ac:dyDescent="0.25">
      <c r="A18">
        <v>1987</v>
      </c>
      <c r="B18" s="1">
        <v>30</v>
      </c>
      <c r="C18" s="1">
        <v>70</v>
      </c>
      <c r="D18" s="1">
        <v>78</v>
      </c>
      <c r="E18" s="1">
        <v>14</v>
      </c>
      <c r="F18" s="1">
        <v>57</v>
      </c>
      <c r="G18" s="1">
        <v>35</v>
      </c>
      <c r="H18" s="1">
        <v>131</v>
      </c>
      <c r="I18" s="1">
        <v>64</v>
      </c>
      <c r="J18" s="1"/>
      <c r="K18" s="1">
        <v>62</v>
      </c>
      <c r="L18" s="1">
        <v>118</v>
      </c>
      <c r="M18" s="1">
        <v>80</v>
      </c>
      <c r="N18" s="1">
        <v>48</v>
      </c>
      <c r="O18" s="1">
        <v>26</v>
      </c>
      <c r="P18" s="1">
        <v>38</v>
      </c>
      <c r="Q18" s="1">
        <f t="shared" si="0"/>
        <v>60.785714285714285</v>
      </c>
      <c r="R18" s="1"/>
    </row>
    <row r="19" spans="1:18" x14ac:dyDescent="0.25">
      <c r="A19">
        <v>1988</v>
      </c>
      <c r="B19" s="1">
        <v>24</v>
      </c>
      <c r="C19" s="1">
        <v>96</v>
      </c>
      <c r="D19" s="1">
        <v>66</v>
      </c>
      <c r="E19" s="1">
        <v>20</v>
      </c>
      <c r="F19" s="1">
        <v>36</v>
      </c>
      <c r="G19" s="1">
        <v>31</v>
      </c>
      <c r="H19" s="1">
        <v>109</v>
      </c>
      <c r="I19" s="1">
        <v>110</v>
      </c>
      <c r="J19" s="1"/>
      <c r="K19" s="1">
        <v>93</v>
      </c>
      <c r="L19" s="1">
        <v>100</v>
      </c>
      <c r="M19" s="1">
        <v>61</v>
      </c>
      <c r="N19" s="1">
        <v>30</v>
      </c>
      <c r="O19" s="1">
        <v>18</v>
      </c>
      <c r="P19" s="1">
        <v>46</v>
      </c>
      <c r="Q19" s="1">
        <f t="shared" si="0"/>
        <v>60</v>
      </c>
      <c r="R19" s="1"/>
    </row>
    <row r="20" spans="1:18" x14ac:dyDescent="0.25">
      <c r="A20">
        <v>1989</v>
      </c>
      <c r="B20" s="1">
        <v>8</v>
      </c>
      <c r="C20" s="1">
        <v>92</v>
      </c>
      <c r="D20" s="1">
        <v>137</v>
      </c>
      <c r="E20" s="1">
        <v>25</v>
      </c>
      <c r="F20" s="1">
        <v>87</v>
      </c>
      <c r="G20" s="1">
        <v>16</v>
      </c>
      <c r="H20" s="1">
        <v>144</v>
      </c>
      <c r="I20" s="1">
        <v>116</v>
      </c>
      <c r="J20" s="1"/>
      <c r="K20" s="1">
        <v>37</v>
      </c>
      <c r="L20" s="1">
        <v>146</v>
      </c>
      <c r="M20" s="1">
        <v>32</v>
      </c>
      <c r="N20" s="1">
        <v>15</v>
      </c>
      <c r="O20" s="1">
        <v>19</v>
      </c>
      <c r="P20" s="1">
        <v>43</v>
      </c>
      <c r="Q20" s="1">
        <f t="shared" si="0"/>
        <v>65.5</v>
      </c>
      <c r="R20" s="1"/>
    </row>
    <row r="21" spans="1:18" x14ac:dyDescent="0.25">
      <c r="A21">
        <v>1990</v>
      </c>
      <c r="B21" s="1">
        <v>36</v>
      </c>
      <c r="C21" s="1">
        <v>105</v>
      </c>
      <c r="D21" s="1">
        <v>133</v>
      </c>
      <c r="E21" s="1">
        <v>39</v>
      </c>
      <c r="F21" s="1">
        <v>48</v>
      </c>
      <c r="G21" s="1">
        <v>42</v>
      </c>
      <c r="H21" s="1">
        <v>149</v>
      </c>
      <c r="I21" s="1">
        <v>99</v>
      </c>
      <c r="J21" s="1"/>
      <c r="K21" s="1">
        <v>43</v>
      </c>
      <c r="L21" s="1">
        <v>147</v>
      </c>
      <c r="M21" s="1">
        <v>57</v>
      </c>
      <c r="N21" s="1">
        <v>34</v>
      </c>
      <c r="O21" s="1">
        <v>11</v>
      </c>
      <c r="P21" s="1">
        <v>26</v>
      </c>
      <c r="Q21" s="1">
        <f t="shared" si="0"/>
        <v>69.214285714285708</v>
      </c>
      <c r="R21" s="1"/>
    </row>
    <row r="22" spans="1:18" x14ac:dyDescent="0.25">
      <c r="A22">
        <v>1991</v>
      </c>
      <c r="B22" s="1">
        <v>20</v>
      </c>
      <c r="C22" s="1">
        <v>70</v>
      </c>
      <c r="D22" s="1">
        <v>50</v>
      </c>
      <c r="E22" s="1">
        <v>44</v>
      </c>
      <c r="F22" s="1">
        <v>48</v>
      </c>
      <c r="G22" s="1">
        <v>27</v>
      </c>
      <c r="H22" s="1">
        <v>104</v>
      </c>
      <c r="I22" s="1">
        <v>112</v>
      </c>
      <c r="J22" s="1"/>
      <c r="K22" s="1">
        <v>47</v>
      </c>
      <c r="L22" s="1">
        <v>92</v>
      </c>
      <c r="M22" s="1">
        <v>60</v>
      </c>
      <c r="N22" s="1">
        <v>56</v>
      </c>
      <c r="O22" s="1">
        <v>30</v>
      </c>
      <c r="P22" s="1">
        <v>40</v>
      </c>
      <c r="Q22" s="1">
        <f t="shared" si="0"/>
        <v>57.142857142857146</v>
      </c>
      <c r="R22" s="1"/>
    </row>
    <row r="23" spans="1:18" x14ac:dyDescent="0.25">
      <c r="A23">
        <v>1992</v>
      </c>
      <c r="B23" s="1">
        <v>20</v>
      </c>
      <c r="C23" s="1">
        <v>67</v>
      </c>
      <c r="D23" s="1">
        <v>93</v>
      </c>
      <c r="E23" s="1">
        <v>34</v>
      </c>
      <c r="F23" s="1">
        <v>60</v>
      </c>
      <c r="G23" s="1">
        <v>21</v>
      </c>
      <c r="H23" s="1">
        <v>87</v>
      </c>
      <c r="I23" s="1">
        <v>63</v>
      </c>
      <c r="J23" s="1"/>
      <c r="K23" s="1">
        <v>60</v>
      </c>
      <c r="L23" s="1">
        <v>137</v>
      </c>
      <c r="M23" s="1">
        <v>70</v>
      </c>
      <c r="N23" s="1">
        <v>73</v>
      </c>
      <c r="O23" s="1">
        <v>23</v>
      </c>
      <c r="P23" s="1">
        <v>25</v>
      </c>
      <c r="Q23" s="1">
        <f t="shared" si="0"/>
        <v>59.5</v>
      </c>
      <c r="R23" s="1"/>
    </row>
    <row r="24" spans="1:18" x14ac:dyDescent="0.25">
      <c r="A24">
        <v>1993</v>
      </c>
      <c r="B24" s="1">
        <v>33</v>
      </c>
      <c r="C24" s="1">
        <v>100</v>
      </c>
      <c r="D24" s="1">
        <v>277</v>
      </c>
      <c r="E24" s="1">
        <v>39</v>
      </c>
      <c r="F24" s="1">
        <v>89</v>
      </c>
      <c r="G24" s="1">
        <v>30</v>
      </c>
      <c r="H24" s="1">
        <v>97</v>
      </c>
      <c r="I24" s="1">
        <v>59</v>
      </c>
      <c r="J24" s="1"/>
      <c r="K24" s="1">
        <v>42</v>
      </c>
      <c r="L24" s="1">
        <v>147</v>
      </c>
      <c r="M24" s="1">
        <v>74</v>
      </c>
      <c r="N24" s="1">
        <v>29</v>
      </c>
      <c r="O24" s="1">
        <v>13</v>
      </c>
      <c r="P24" s="1">
        <v>24</v>
      </c>
      <c r="Q24" s="1">
        <f t="shared" si="0"/>
        <v>75.214285714285708</v>
      </c>
      <c r="R24" s="1"/>
    </row>
    <row r="25" spans="1:18" x14ac:dyDescent="0.25">
      <c r="A25">
        <v>1994</v>
      </c>
      <c r="B25" s="1">
        <v>39</v>
      </c>
      <c r="C25" s="1">
        <v>93</v>
      </c>
      <c r="D25" s="1">
        <v>221</v>
      </c>
      <c r="E25" s="1">
        <v>46</v>
      </c>
      <c r="F25" s="1">
        <v>96</v>
      </c>
      <c r="G25" s="1">
        <v>30</v>
      </c>
      <c r="H25" s="1">
        <v>87</v>
      </c>
      <c r="I25" s="1">
        <v>51</v>
      </c>
      <c r="J25" s="1"/>
      <c r="K25" s="1">
        <v>43</v>
      </c>
      <c r="L25" s="1">
        <v>118</v>
      </c>
      <c r="M25" s="1">
        <v>28</v>
      </c>
      <c r="N25" s="1">
        <v>9</v>
      </c>
      <c r="O25" s="1">
        <v>67</v>
      </c>
      <c r="P25" s="1">
        <v>40</v>
      </c>
      <c r="Q25" s="1">
        <f t="shared" si="0"/>
        <v>69.142857142857139</v>
      </c>
      <c r="R25" s="1"/>
    </row>
    <row r="26" spans="1:18" x14ac:dyDescent="0.25">
      <c r="A26">
        <v>1995</v>
      </c>
      <c r="B26" s="1">
        <v>17</v>
      </c>
      <c r="C26" s="1">
        <v>82</v>
      </c>
      <c r="D26" s="1">
        <v>87</v>
      </c>
      <c r="E26" s="1">
        <v>25</v>
      </c>
      <c r="F26" s="1">
        <v>36</v>
      </c>
      <c r="G26" s="1">
        <v>18</v>
      </c>
      <c r="H26" s="1">
        <v>68</v>
      </c>
      <c r="I26" s="1">
        <v>53</v>
      </c>
      <c r="J26" s="1"/>
      <c r="K26" s="1">
        <v>39</v>
      </c>
      <c r="L26" s="1">
        <v>64</v>
      </c>
      <c r="M26" s="1">
        <v>39</v>
      </c>
      <c r="N26" s="1">
        <v>24</v>
      </c>
      <c r="O26" s="1">
        <v>32</v>
      </c>
      <c r="P26" s="1">
        <v>23</v>
      </c>
      <c r="Q26" s="1">
        <f t="shared" si="0"/>
        <v>43.357142857142854</v>
      </c>
      <c r="R26" s="1"/>
    </row>
    <row r="27" spans="1:18" x14ac:dyDescent="0.25">
      <c r="A27">
        <v>1996</v>
      </c>
      <c r="B27" s="1">
        <v>21</v>
      </c>
      <c r="C27" s="1">
        <v>76</v>
      </c>
      <c r="D27" s="1">
        <v>60</v>
      </c>
      <c r="E27" s="1">
        <v>18</v>
      </c>
      <c r="F27" s="1">
        <v>35</v>
      </c>
      <c r="G27" s="1">
        <v>20</v>
      </c>
      <c r="H27" s="1">
        <v>78</v>
      </c>
      <c r="I27" s="1">
        <v>55</v>
      </c>
      <c r="J27" s="1"/>
      <c r="K27" s="1">
        <v>46</v>
      </c>
      <c r="L27" s="1">
        <v>88</v>
      </c>
      <c r="M27" s="1">
        <v>48</v>
      </c>
      <c r="N27" s="1">
        <v>46</v>
      </c>
      <c r="O27" s="1">
        <v>32</v>
      </c>
      <c r="P27" s="1">
        <v>22</v>
      </c>
      <c r="Q27" s="1">
        <f t="shared" si="0"/>
        <v>46.071428571428569</v>
      </c>
      <c r="R27" s="1"/>
    </row>
    <row r="28" spans="1:18" x14ac:dyDescent="0.25">
      <c r="A28">
        <v>1997</v>
      </c>
      <c r="B28" s="1">
        <v>10</v>
      </c>
      <c r="C28" s="1">
        <v>102</v>
      </c>
      <c r="D28" s="1">
        <v>61</v>
      </c>
      <c r="E28" s="1">
        <v>73</v>
      </c>
      <c r="F28" s="1">
        <v>48</v>
      </c>
      <c r="G28" s="1">
        <v>20</v>
      </c>
      <c r="H28" s="1">
        <v>101</v>
      </c>
      <c r="I28" s="1">
        <v>36</v>
      </c>
      <c r="J28" s="1"/>
      <c r="K28" s="1">
        <v>46</v>
      </c>
      <c r="L28" s="1">
        <v>164</v>
      </c>
      <c r="M28" s="1">
        <v>42</v>
      </c>
      <c r="N28" s="1">
        <v>12</v>
      </c>
      <c r="O28" s="1">
        <v>58</v>
      </c>
      <c r="P28" s="1">
        <v>52</v>
      </c>
      <c r="Q28" s="1">
        <f t="shared" si="0"/>
        <v>58.928571428571431</v>
      </c>
      <c r="R28" s="1"/>
    </row>
    <row r="29" spans="1:18" x14ac:dyDescent="0.25">
      <c r="A29">
        <v>1998</v>
      </c>
      <c r="B29" s="1">
        <v>20</v>
      </c>
      <c r="C29" s="1">
        <v>119</v>
      </c>
      <c r="D29" s="1">
        <v>216</v>
      </c>
      <c r="E29" s="1">
        <v>30</v>
      </c>
      <c r="F29" s="1">
        <v>43</v>
      </c>
      <c r="G29" s="1">
        <v>41</v>
      </c>
      <c r="H29" s="1">
        <v>84</v>
      </c>
      <c r="I29" s="1">
        <v>67</v>
      </c>
      <c r="J29" s="1"/>
      <c r="K29" s="1">
        <v>105</v>
      </c>
      <c r="L29" s="1">
        <v>83</v>
      </c>
      <c r="M29" s="1">
        <v>51</v>
      </c>
      <c r="N29" s="1">
        <v>23</v>
      </c>
      <c r="O29" s="1">
        <v>33</v>
      </c>
      <c r="P29" s="1">
        <v>52</v>
      </c>
      <c r="Q29" s="1">
        <f t="shared" si="0"/>
        <v>69.071428571428569</v>
      </c>
      <c r="R29" s="1"/>
    </row>
    <row r="30" spans="1:18" x14ac:dyDescent="0.25">
      <c r="A30">
        <v>1999</v>
      </c>
      <c r="B30" s="1">
        <v>21</v>
      </c>
      <c r="C30" s="1">
        <v>70</v>
      </c>
      <c r="D30" s="1">
        <v>49</v>
      </c>
      <c r="E30" s="1">
        <v>31</v>
      </c>
      <c r="F30" s="1">
        <v>40</v>
      </c>
      <c r="G30" s="1">
        <v>0</v>
      </c>
      <c r="H30" s="1">
        <v>73</v>
      </c>
      <c r="I30" s="1">
        <v>45</v>
      </c>
      <c r="J30" s="1"/>
      <c r="K30" s="1">
        <v>54</v>
      </c>
      <c r="L30" s="1">
        <v>87</v>
      </c>
      <c r="M30" s="1">
        <v>38</v>
      </c>
      <c r="N30" s="1">
        <v>31</v>
      </c>
      <c r="O30" s="1">
        <v>25</v>
      </c>
      <c r="P30" s="1">
        <v>34</v>
      </c>
      <c r="Q30" s="1">
        <f t="shared" si="0"/>
        <v>42.714285714285715</v>
      </c>
      <c r="R30" s="1"/>
    </row>
    <row r="31" spans="1:18" x14ac:dyDescent="0.25">
      <c r="A31">
        <v>2000</v>
      </c>
      <c r="B31" s="1">
        <v>14</v>
      </c>
      <c r="C31" s="1">
        <v>110</v>
      </c>
      <c r="D31" s="1">
        <v>102</v>
      </c>
      <c r="E31" s="1">
        <v>29</v>
      </c>
      <c r="F31" s="1">
        <v>72</v>
      </c>
      <c r="G31" s="1">
        <v>40</v>
      </c>
      <c r="H31" s="1">
        <v>144</v>
      </c>
      <c r="I31" s="1">
        <v>84</v>
      </c>
      <c r="J31" s="1"/>
      <c r="K31" s="1">
        <v>73</v>
      </c>
      <c r="L31" s="1">
        <v>146</v>
      </c>
      <c r="M31" s="1">
        <v>56</v>
      </c>
      <c r="N31" s="1">
        <v>43</v>
      </c>
      <c r="O31" s="1">
        <v>25</v>
      </c>
      <c r="P31" s="1">
        <v>28</v>
      </c>
      <c r="Q31" s="1">
        <f t="shared" si="0"/>
        <v>69</v>
      </c>
      <c r="R31" s="1"/>
    </row>
    <row r="32" spans="1:18" x14ac:dyDescent="0.25">
      <c r="A32">
        <v>2001</v>
      </c>
      <c r="B32" s="1">
        <v>35</v>
      </c>
      <c r="C32" s="1">
        <v>140</v>
      </c>
      <c r="D32" s="1">
        <v>137</v>
      </c>
      <c r="E32" s="1">
        <v>46</v>
      </c>
      <c r="F32" s="1">
        <v>97</v>
      </c>
      <c r="G32" s="1">
        <v>58</v>
      </c>
      <c r="H32" s="1">
        <v>138</v>
      </c>
      <c r="I32" s="1">
        <v>85</v>
      </c>
      <c r="J32" s="1"/>
      <c r="K32" s="1">
        <v>53</v>
      </c>
      <c r="L32" s="1">
        <v>135</v>
      </c>
      <c r="M32" s="1">
        <v>82</v>
      </c>
      <c r="N32" s="1">
        <v>46</v>
      </c>
      <c r="O32" s="1">
        <v>38</v>
      </c>
      <c r="P32" s="1">
        <v>62</v>
      </c>
      <c r="Q32" s="1">
        <f t="shared" si="0"/>
        <v>82.285714285714292</v>
      </c>
      <c r="R32" s="1"/>
    </row>
    <row r="33" spans="1:18" x14ac:dyDescent="0.25">
      <c r="A33">
        <v>2002</v>
      </c>
      <c r="B33" s="1">
        <v>10</v>
      </c>
      <c r="C33" s="1">
        <v>45</v>
      </c>
      <c r="D33" s="1">
        <v>91</v>
      </c>
      <c r="E33" s="1">
        <v>19</v>
      </c>
      <c r="F33" s="1">
        <v>47</v>
      </c>
      <c r="G33" s="1">
        <v>22</v>
      </c>
      <c r="H33" s="1">
        <v>60</v>
      </c>
      <c r="I33" s="1">
        <v>49</v>
      </c>
      <c r="J33" s="1"/>
      <c r="K33" s="1">
        <v>25</v>
      </c>
      <c r="L33" s="1">
        <v>89</v>
      </c>
      <c r="M33" s="1">
        <v>23</v>
      </c>
      <c r="N33" s="1">
        <v>8</v>
      </c>
      <c r="O33" s="1">
        <v>9</v>
      </c>
      <c r="P33" s="1">
        <v>25</v>
      </c>
      <c r="Q33" s="1">
        <f t="shared" si="0"/>
        <v>37.285714285714285</v>
      </c>
      <c r="R33" s="1"/>
    </row>
    <row r="34" spans="1:18" x14ac:dyDescent="0.25">
      <c r="A34">
        <v>2003</v>
      </c>
      <c r="B34" s="1">
        <v>40</v>
      </c>
      <c r="C34" s="1">
        <v>78</v>
      </c>
      <c r="D34" s="1">
        <v>84</v>
      </c>
      <c r="E34" s="1">
        <v>48</v>
      </c>
      <c r="F34" s="1">
        <v>55</v>
      </c>
      <c r="G34" s="1">
        <v>31</v>
      </c>
      <c r="H34" s="1">
        <v>72</v>
      </c>
      <c r="I34" s="1">
        <v>89</v>
      </c>
      <c r="J34" s="1"/>
      <c r="K34" s="1">
        <v>79</v>
      </c>
      <c r="L34" s="1">
        <v>109</v>
      </c>
      <c r="M34" s="1">
        <v>51</v>
      </c>
      <c r="N34" s="1">
        <v>25</v>
      </c>
      <c r="O34" s="1">
        <v>33</v>
      </c>
      <c r="P34" s="1">
        <v>68</v>
      </c>
      <c r="Q34" s="1">
        <f t="shared" si="0"/>
        <v>61.571428571428569</v>
      </c>
      <c r="R34" s="1"/>
    </row>
    <row r="35" spans="1:18" x14ac:dyDescent="0.25">
      <c r="A35">
        <v>2004</v>
      </c>
      <c r="B35" s="1">
        <v>31</v>
      </c>
      <c r="C35" s="1">
        <v>87</v>
      </c>
      <c r="D35" s="1">
        <v>126</v>
      </c>
      <c r="E35" s="1">
        <v>34</v>
      </c>
      <c r="F35" s="1">
        <v>63</v>
      </c>
      <c r="G35" s="1">
        <v>36</v>
      </c>
      <c r="H35" s="1">
        <v>99</v>
      </c>
      <c r="I35" s="1">
        <v>90</v>
      </c>
      <c r="J35" s="1"/>
      <c r="K35" s="1">
        <v>56</v>
      </c>
      <c r="L35" s="1">
        <v>119</v>
      </c>
      <c r="M35" s="1">
        <v>54</v>
      </c>
      <c r="N35" s="1">
        <v>27</v>
      </c>
      <c r="O35" s="1">
        <v>11</v>
      </c>
      <c r="P35" s="1">
        <v>36</v>
      </c>
      <c r="Q35" s="1">
        <f t="shared" si="0"/>
        <v>62.071428571428569</v>
      </c>
      <c r="R35" s="1"/>
    </row>
    <row r="36" spans="1:18" x14ac:dyDescent="0.25">
      <c r="A36">
        <v>2005</v>
      </c>
      <c r="B36" s="1">
        <v>21</v>
      </c>
      <c r="C36" s="1">
        <v>57</v>
      </c>
      <c r="D36" s="1">
        <v>52</v>
      </c>
      <c r="E36" s="1">
        <v>12</v>
      </c>
      <c r="F36" s="1">
        <v>36</v>
      </c>
      <c r="G36" s="1">
        <v>36</v>
      </c>
      <c r="H36" s="1">
        <v>86</v>
      </c>
      <c r="I36" s="1">
        <v>55</v>
      </c>
      <c r="J36" s="1"/>
      <c r="K36" s="1">
        <v>44</v>
      </c>
      <c r="L36" s="1">
        <v>103</v>
      </c>
      <c r="M36" s="1">
        <v>27</v>
      </c>
      <c r="N36" s="1">
        <v>29</v>
      </c>
      <c r="O36" s="1">
        <v>15</v>
      </c>
      <c r="P36" s="1">
        <v>21</v>
      </c>
      <c r="Q36" s="1">
        <f t="shared" si="0"/>
        <v>42.428571428571431</v>
      </c>
      <c r="R36" s="1"/>
    </row>
    <row r="37" spans="1:18" x14ac:dyDescent="0.25">
      <c r="A37">
        <v>2006</v>
      </c>
      <c r="B37" s="1">
        <v>21</v>
      </c>
      <c r="C37" s="1">
        <v>75</v>
      </c>
      <c r="D37" s="1">
        <v>84</v>
      </c>
      <c r="E37" s="1">
        <v>12</v>
      </c>
      <c r="F37" s="1">
        <v>32</v>
      </c>
      <c r="G37" s="1">
        <v>26</v>
      </c>
      <c r="H37" s="1">
        <v>60</v>
      </c>
      <c r="I37" s="1">
        <v>64</v>
      </c>
      <c r="J37" s="1"/>
      <c r="K37" s="1">
        <v>46</v>
      </c>
      <c r="L37" s="1">
        <v>105</v>
      </c>
      <c r="M37" s="1">
        <v>63</v>
      </c>
      <c r="N37" s="1">
        <v>47</v>
      </c>
      <c r="O37" s="1">
        <v>15</v>
      </c>
      <c r="P37" s="1">
        <v>38</v>
      </c>
      <c r="Q37" s="1">
        <f t="shared" si="0"/>
        <v>49.142857142857146</v>
      </c>
      <c r="R37" s="1"/>
    </row>
    <row r="38" spans="1:18" x14ac:dyDescent="0.25">
      <c r="A38">
        <v>2007</v>
      </c>
      <c r="B38" s="1">
        <v>8</v>
      </c>
      <c r="C38" s="1">
        <v>68</v>
      </c>
      <c r="D38" s="1">
        <v>102</v>
      </c>
      <c r="E38" s="1">
        <v>34</v>
      </c>
      <c r="F38" s="1">
        <v>88</v>
      </c>
      <c r="G38" s="1">
        <v>26</v>
      </c>
      <c r="H38" s="1">
        <v>86</v>
      </c>
      <c r="I38" s="1">
        <v>113</v>
      </c>
      <c r="J38" s="1"/>
      <c r="K38" s="1">
        <v>42</v>
      </c>
      <c r="L38" s="1">
        <v>167</v>
      </c>
      <c r="M38" s="1">
        <v>51</v>
      </c>
      <c r="N38" s="1">
        <v>21</v>
      </c>
      <c r="O38" s="1">
        <v>18</v>
      </c>
      <c r="P38" s="1">
        <v>34</v>
      </c>
      <c r="Q38" s="1">
        <f t="shared" si="0"/>
        <v>61.285714285714285</v>
      </c>
      <c r="R38" s="1"/>
    </row>
    <row r="39" spans="1:18" x14ac:dyDescent="0.25">
      <c r="A39">
        <v>2008</v>
      </c>
      <c r="B39" s="1">
        <v>20</v>
      </c>
      <c r="C39" s="1">
        <v>78</v>
      </c>
      <c r="D39" s="1">
        <v>137</v>
      </c>
      <c r="E39" s="1">
        <v>20</v>
      </c>
      <c r="F39" s="1">
        <v>76</v>
      </c>
      <c r="G39" s="1">
        <v>27</v>
      </c>
      <c r="H39" s="1">
        <v>70</v>
      </c>
      <c r="I39" s="1">
        <v>78</v>
      </c>
      <c r="J39" s="1"/>
      <c r="K39" s="1">
        <v>45</v>
      </c>
      <c r="L39" s="1">
        <v>153</v>
      </c>
      <c r="M39" s="1">
        <v>58</v>
      </c>
      <c r="N39" s="1">
        <v>24</v>
      </c>
      <c r="O39" s="1">
        <v>29</v>
      </c>
      <c r="P39" s="1">
        <v>37</v>
      </c>
      <c r="Q39" s="1">
        <f t="shared" si="0"/>
        <v>60.857142857142854</v>
      </c>
      <c r="R39" s="1"/>
    </row>
    <row r="40" spans="1:18" x14ac:dyDescent="0.25">
      <c r="A40">
        <v>2009</v>
      </c>
      <c r="B40" s="1">
        <v>8</v>
      </c>
      <c r="C40" s="1">
        <v>60</v>
      </c>
      <c r="D40" s="1">
        <v>78</v>
      </c>
      <c r="E40" s="1">
        <v>25</v>
      </c>
      <c r="F40" s="1">
        <v>10</v>
      </c>
      <c r="G40" s="1">
        <v>27</v>
      </c>
      <c r="H40" s="1">
        <v>63</v>
      </c>
      <c r="I40" s="1">
        <v>81</v>
      </c>
      <c r="J40" s="1"/>
      <c r="K40" s="1">
        <v>53</v>
      </c>
      <c r="L40" s="1">
        <v>84</v>
      </c>
      <c r="M40" s="1">
        <v>84</v>
      </c>
      <c r="N40" s="1">
        <v>31</v>
      </c>
      <c r="O40" s="1">
        <v>0</v>
      </c>
      <c r="P40" s="1">
        <v>54</v>
      </c>
      <c r="Q40" s="1">
        <f t="shared" si="0"/>
        <v>47</v>
      </c>
      <c r="R40" s="1"/>
    </row>
    <row r="41" spans="1:18" x14ac:dyDescent="0.25">
      <c r="A41">
        <v>2010</v>
      </c>
      <c r="B41" s="1">
        <v>78</v>
      </c>
      <c r="C41" s="1">
        <v>122</v>
      </c>
      <c r="D41" s="1">
        <v>146</v>
      </c>
      <c r="E41" s="1">
        <v>62</v>
      </c>
      <c r="F41" s="1">
        <v>53</v>
      </c>
      <c r="G41" s="1">
        <v>42</v>
      </c>
      <c r="H41" s="1">
        <v>78</v>
      </c>
      <c r="I41" s="1">
        <v>109</v>
      </c>
      <c r="J41" s="1"/>
      <c r="K41" s="1">
        <v>59</v>
      </c>
      <c r="L41" s="1">
        <v>99</v>
      </c>
      <c r="M41" s="1">
        <v>99</v>
      </c>
      <c r="N41" s="1">
        <v>50</v>
      </c>
      <c r="O41" s="1">
        <v>20</v>
      </c>
      <c r="P41" s="1">
        <v>73</v>
      </c>
      <c r="Q41" s="1">
        <f t="shared" si="0"/>
        <v>77.857142857142861</v>
      </c>
      <c r="R41" s="1"/>
    </row>
    <row r="42" spans="1:18" x14ac:dyDescent="0.25">
      <c r="A42">
        <v>2011</v>
      </c>
      <c r="B42" s="1">
        <v>40</v>
      </c>
      <c r="C42" s="1">
        <v>80</v>
      </c>
      <c r="D42" s="1">
        <v>151</v>
      </c>
      <c r="E42" s="1">
        <v>25</v>
      </c>
      <c r="F42" s="1">
        <v>33</v>
      </c>
      <c r="G42" s="1">
        <v>28</v>
      </c>
      <c r="H42" s="1">
        <v>65</v>
      </c>
      <c r="I42" s="1">
        <v>91</v>
      </c>
      <c r="J42" s="1"/>
      <c r="K42" s="1">
        <v>60</v>
      </c>
      <c r="L42" s="1">
        <v>99</v>
      </c>
      <c r="M42" s="1">
        <v>48</v>
      </c>
      <c r="N42" s="1">
        <v>29</v>
      </c>
      <c r="O42" s="1">
        <v>20</v>
      </c>
      <c r="P42" s="1">
        <v>66</v>
      </c>
      <c r="Q42" s="1">
        <f t="shared" si="0"/>
        <v>59.642857142857146</v>
      </c>
      <c r="R42" s="1"/>
    </row>
    <row r="43" spans="1:18" x14ac:dyDescent="0.25">
      <c r="A43">
        <v>2012</v>
      </c>
      <c r="B43" s="1">
        <v>51</v>
      </c>
      <c r="C43" s="1">
        <v>82</v>
      </c>
      <c r="D43" s="1">
        <v>167</v>
      </c>
      <c r="E43" s="1">
        <v>42</v>
      </c>
      <c r="F43" s="1">
        <v>56</v>
      </c>
      <c r="G43" s="1">
        <v>50</v>
      </c>
      <c r="H43" s="1">
        <v>40</v>
      </c>
      <c r="I43" s="1">
        <v>106</v>
      </c>
      <c r="J43" s="1"/>
      <c r="K43" s="1">
        <v>40</v>
      </c>
      <c r="L43" s="1">
        <v>93</v>
      </c>
      <c r="M43" s="1">
        <v>60</v>
      </c>
      <c r="N43" s="1">
        <v>38</v>
      </c>
      <c r="O43" s="1">
        <v>34</v>
      </c>
      <c r="P43" s="1">
        <v>44</v>
      </c>
      <c r="Q43" s="1">
        <f t="shared" si="0"/>
        <v>64.5</v>
      </c>
      <c r="R43" s="1"/>
    </row>
    <row r="44" spans="1:18" x14ac:dyDescent="0.25">
      <c r="A44">
        <v>2013</v>
      </c>
      <c r="B44" s="1">
        <v>51</v>
      </c>
      <c r="C44" s="1">
        <v>92</v>
      </c>
      <c r="D44" s="1">
        <v>151</v>
      </c>
      <c r="E44" s="1">
        <v>40</v>
      </c>
      <c r="F44" s="1">
        <v>72</v>
      </c>
      <c r="G44" s="1">
        <v>36</v>
      </c>
      <c r="H44" s="1">
        <v>119</v>
      </c>
      <c r="I44" s="1">
        <v>145</v>
      </c>
      <c r="J44" s="1"/>
      <c r="K44" s="1">
        <v>78</v>
      </c>
      <c r="L44" s="1">
        <v>164</v>
      </c>
      <c r="M44" s="1">
        <v>108</v>
      </c>
      <c r="N44" s="1">
        <v>51</v>
      </c>
      <c r="O44" s="1">
        <v>11</v>
      </c>
      <c r="P44" s="1">
        <v>34</v>
      </c>
      <c r="Q44" s="1">
        <f t="shared" si="0"/>
        <v>82.285714285714292</v>
      </c>
      <c r="R44" s="1"/>
    </row>
    <row r="45" spans="1:18" x14ac:dyDescent="0.25">
      <c r="A45">
        <v>2014</v>
      </c>
      <c r="B45" s="1">
        <v>46</v>
      </c>
      <c r="C45" s="1">
        <v>108</v>
      </c>
      <c r="D45" s="1">
        <v>133</v>
      </c>
      <c r="E45" s="1">
        <v>71</v>
      </c>
      <c r="F45" s="1">
        <v>105</v>
      </c>
      <c r="G45" s="1">
        <v>44</v>
      </c>
      <c r="H45" s="1">
        <v>107</v>
      </c>
      <c r="I45" s="1">
        <v>133</v>
      </c>
      <c r="J45" s="1"/>
      <c r="K45" s="1">
        <v>53</v>
      </c>
      <c r="L45" s="1">
        <v>140</v>
      </c>
      <c r="M45" s="1">
        <v>75</v>
      </c>
      <c r="N45" s="1">
        <v>21</v>
      </c>
      <c r="O45" s="1">
        <v>36</v>
      </c>
      <c r="P45" s="1">
        <v>68</v>
      </c>
      <c r="Q45" s="1">
        <f t="shared" si="0"/>
        <v>81.428571428571431</v>
      </c>
      <c r="R45" s="1"/>
    </row>
    <row r="46" spans="1:18" x14ac:dyDescent="0.25">
      <c r="A46">
        <v>2015</v>
      </c>
      <c r="B46" s="1">
        <v>47</v>
      </c>
      <c r="C46" s="1">
        <v>89</v>
      </c>
      <c r="D46" s="1">
        <v>119</v>
      </c>
      <c r="E46" s="1">
        <v>21</v>
      </c>
      <c r="F46" s="1">
        <v>105</v>
      </c>
      <c r="G46" s="1">
        <v>23</v>
      </c>
      <c r="H46" s="1">
        <v>66</v>
      </c>
      <c r="I46" s="1">
        <v>123</v>
      </c>
      <c r="J46" s="1"/>
      <c r="K46" s="1">
        <v>61</v>
      </c>
      <c r="L46" s="1">
        <v>122</v>
      </c>
      <c r="M46" s="1">
        <v>78</v>
      </c>
      <c r="N46" s="1">
        <v>31</v>
      </c>
      <c r="O46" s="1">
        <v>21</v>
      </c>
      <c r="P46" s="1">
        <v>50</v>
      </c>
      <c r="Q46" s="1">
        <f t="shared" si="0"/>
        <v>68.285714285714292</v>
      </c>
      <c r="R46" s="1"/>
    </row>
    <row r="47" spans="1:18" x14ac:dyDescent="0.25">
      <c r="A47">
        <v>2016</v>
      </c>
      <c r="B47" s="1">
        <v>71</v>
      </c>
      <c r="C47" s="1">
        <v>94</v>
      </c>
      <c r="D47" s="1">
        <v>167</v>
      </c>
      <c r="E47" s="1">
        <v>17</v>
      </c>
      <c r="F47" s="1">
        <v>133</v>
      </c>
      <c r="G47" s="1">
        <v>41</v>
      </c>
      <c r="H47" s="1">
        <v>96</v>
      </c>
      <c r="I47" s="1">
        <v>90</v>
      </c>
      <c r="J47" s="1"/>
      <c r="K47" s="1">
        <v>63</v>
      </c>
      <c r="L47" s="1">
        <v>201</v>
      </c>
      <c r="M47" s="1">
        <v>81</v>
      </c>
      <c r="N47" s="1">
        <v>25</v>
      </c>
      <c r="O47" s="1">
        <v>0</v>
      </c>
      <c r="P47" s="1">
        <v>57</v>
      </c>
      <c r="Q47" s="1">
        <f t="shared" si="0"/>
        <v>81.142857142857139</v>
      </c>
      <c r="R47" s="1"/>
    </row>
    <row r="48" spans="1:18" x14ac:dyDescent="0.25">
      <c r="A48">
        <v>2017</v>
      </c>
      <c r="B48" s="1">
        <v>32</v>
      </c>
      <c r="C48" s="1">
        <v>105</v>
      </c>
      <c r="D48" s="1">
        <v>133</v>
      </c>
      <c r="E48" s="1">
        <v>40</v>
      </c>
      <c r="F48" s="1">
        <v>78</v>
      </c>
      <c r="G48" s="1">
        <v>63</v>
      </c>
      <c r="H48" s="1">
        <v>112</v>
      </c>
      <c r="I48" s="1">
        <v>90</v>
      </c>
      <c r="J48" s="1"/>
      <c r="K48" s="1">
        <v>92</v>
      </c>
      <c r="L48" s="1">
        <v>115</v>
      </c>
      <c r="M48" s="1">
        <v>80</v>
      </c>
      <c r="N48" s="1">
        <v>44</v>
      </c>
      <c r="O48" s="1">
        <v>29</v>
      </c>
      <c r="P48" s="1">
        <v>41</v>
      </c>
      <c r="Q48" s="1">
        <f t="shared" si="0"/>
        <v>75.285714285714292</v>
      </c>
      <c r="R48" s="1"/>
    </row>
    <row r="49" spans="1:18" x14ac:dyDescent="0.25">
      <c r="A49">
        <v>2018</v>
      </c>
      <c r="B49" s="1">
        <v>72</v>
      </c>
      <c r="C49" s="1">
        <v>75</v>
      </c>
      <c r="D49" s="1">
        <v>68</v>
      </c>
      <c r="E49" s="1">
        <v>20</v>
      </c>
      <c r="F49" s="1">
        <v>57</v>
      </c>
      <c r="G49" s="1">
        <v>38</v>
      </c>
      <c r="H49" s="1">
        <v>93</v>
      </c>
      <c r="I49" s="1">
        <v>78</v>
      </c>
      <c r="J49" s="1"/>
      <c r="K49" s="1">
        <v>43</v>
      </c>
      <c r="L49" s="1">
        <v>93</v>
      </c>
      <c r="M49" s="1">
        <v>42</v>
      </c>
      <c r="N49" s="1">
        <v>25</v>
      </c>
      <c r="O49" s="1">
        <v>31</v>
      </c>
      <c r="P49" s="1">
        <v>13</v>
      </c>
      <c r="Q49" s="1">
        <f t="shared" si="0"/>
        <v>53.428571428571431</v>
      </c>
      <c r="R49" s="1"/>
    </row>
    <row r="50" spans="1:18" x14ac:dyDescent="0.25">
      <c r="A50">
        <v>2019</v>
      </c>
      <c r="B50" s="1">
        <v>36</v>
      </c>
      <c r="C50" s="1">
        <v>81</v>
      </c>
      <c r="D50" s="1">
        <v>72</v>
      </c>
      <c r="E50" s="1">
        <v>50</v>
      </c>
      <c r="F50" s="1">
        <v>68</v>
      </c>
      <c r="G50" s="1">
        <v>47</v>
      </c>
      <c r="H50" s="1">
        <v>93</v>
      </c>
      <c r="I50" s="1">
        <v>106</v>
      </c>
      <c r="J50" s="1"/>
      <c r="K50" s="1">
        <v>84</v>
      </c>
      <c r="L50" s="1">
        <v>112</v>
      </c>
      <c r="M50" s="1">
        <v>84</v>
      </c>
      <c r="N50" s="1">
        <v>56</v>
      </c>
      <c r="O50" s="1">
        <v>13</v>
      </c>
      <c r="P50" s="1">
        <v>48</v>
      </c>
      <c r="Q50" s="1">
        <f t="shared" si="0"/>
        <v>67.857142857142861</v>
      </c>
      <c r="R50" s="1"/>
    </row>
    <row r="51" spans="1:18" x14ac:dyDescent="0.25">
      <c r="A51">
        <v>2020</v>
      </c>
      <c r="B51" s="1">
        <v>16</v>
      </c>
      <c r="C51" s="1">
        <v>73</v>
      </c>
      <c r="D51" s="1">
        <v>119</v>
      </c>
      <c r="E51" s="1">
        <v>29</v>
      </c>
      <c r="F51" s="1">
        <v>110</v>
      </c>
      <c r="G51" s="1">
        <v>21</v>
      </c>
      <c r="H51" s="1">
        <v>146</v>
      </c>
      <c r="I51" s="1">
        <v>195</v>
      </c>
      <c r="J51" s="1"/>
      <c r="K51" s="1">
        <v>36</v>
      </c>
      <c r="L51" s="1">
        <v>116</v>
      </c>
      <c r="M51" s="1">
        <v>67</v>
      </c>
      <c r="N51" s="1">
        <v>47</v>
      </c>
      <c r="O51" s="1">
        <v>17</v>
      </c>
      <c r="P51" s="1">
        <v>69</v>
      </c>
      <c r="Q51" s="1">
        <f t="shared" si="0"/>
        <v>75.785714285714292</v>
      </c>
      <c r="R51" s="1"/>
    </row>
    <row r="52" spans="1:18" x14ac:dyDescent="0.25">
      <c r="A52">
        <v>2021</v>
      </c>
      <c r="B52" s="1">
        <v>28</v>
      </c>
      <c r="C52" s="1">
        <v>59</v>
      </c>
      <c r="D52" s="1">
        <v>58</v>
      </c>
      <c r="E52" s="1">
        <v>25</v>
      </c>
      <c r="F52" s="1">
        <v>53</v>
      </c>
      <c r="G52" s="1">
        <v>23</v>
      </c>
      <c r="H52" s="1">
        <v>93</v>
      </c>
      <c r="I52" s="1">
        <v>103</v>
      </c>
      <c r="J52" s="1"/>
      <c r="K52" s="1">
        <v>176</v>
      </c>
      <c r="L52" s="1">
        <v>90</v>
      </c>
      <c r="M52" s="1">
        <v>41</v>
      </c>
      <c r="N52" s="1">
        <v>44</v>
      </c>
      <c r="O52" s="1">
        <v>12</v>
      </c>
      <c r="P52" s="1">
        <v>39</v>
      </c>
      <c r="Q52" s="1">
        <f t="shared" si="0"/>
        <v>60.285714285714285</v>
      </c>
      <c r="R52" s="1"/>
    </row>
    <row r="53" spans="1:18" x14ac:dyDescent="0.25">
      <c r="A53">
        <v>2022</v>
      </c>
      <c r="B53" s="1">
        <v>24</v>
      </c>
      <c r="C53" s="1">
        <v>54</v>
      </c>
      <c r="D53" s="1">
        <v>55</v>
      </c>
      <c r="E53" s="1">
        <v>32</v>
      </c>
      <c r="F53" s="1">
        <v>48</v>
      </c>
      <c r="G53" s="1">
        <v>17</v>
      </c>
      <c r="H53" s="1">
        <v>108</v>
      </c>
      <c r="I53" s="1">
        <v>79</v>
      </c>
      <c r="J53" s="1"/>
      <c r="K53" s="1">
        <v>47</v>
      </c>
      <c r="L53" s="1">
        <v>66</v>
      </c>
      <c r="M53" s="1">
        <v>30</v>
      </c>
      <c r="N53" s="1">
        <v>37</v>
      </c>
      <c r="O53" s="1">
        <v>26</v>
      </c>
      <c r="P53" s="1">
        <v>17</v>
      </c>
      <c r="Q53" s="1">
        <f t="shared" si="0"/>
        <v>45.714285714285715</v>
      </c>
      <c r="R53" s="1"/>
    </row>
    <row r="54" spans="1:18" x14ac:dyDescent="0.25">
      <c r="A54">
        <v>2023</v>
      </c>
      <c r="B54" s="1">
        <v>63</v>
      </c>
      <c r="C54" s="1">
        <v>70</v>
      </c>
      <c r="D54" s="1">
        <v>94</v>
      </c>
      <c r="E54" s="1">
        <v>101</v>
      </c>
      <c r="F54" s="1">
        <v>131</v>
      </c>
      <c r="G54" s="1">
        <v>29</v>
      </c>
      <c r="H54" s="1">
        <v>117</v>
      </c>
      <c r="I54" s="1">
        <v>130</v>
      </c>
      <c r="J54" s="1"/>
      <c r="K54" s="1">
        <v>55</v>
      </c>
      <c r="L54" s="1">
        <v>112</v>
      </c>
      <c r="M54" s="1">
        <v>57</v>
      </c>
      <c r="N54" s="1">
        <v>26</v>
      </c>
      <c r="O54" s="1">
        <v>26</v>
      </c>
      <c r="P54" s="1">
        <v>83</v>
      </c>
      <c r="Q54" s="1">
        <f t="shared" si="0"/>
        <v>78.142857142857139</v>
      </c>
      <c r="R54" s="1"/>
    </row>
    <row r="55" spans="1:18" x14ac:dyDescent="0.25">
      <c r="A55">
        <v>2024</v>
      </c>
      <c r="B55" s="1"/>
      <c r="C55" s="1">
        <v>48</v>
      </c>
      <c r="D55" s="1">
        <v>83</v>
      </c>
      <c r="E55" s="1">
        <v>23</v>
      </c>
      <c r="F55" s="1">
        <v>94</v>
      </c>
      <c r="G55" s="1">
        <v>27</v>
      </c>
      <c r="H55" s="1">
        <v>96</v>
      </c>
      <c r="I55" s="1">
        <v>16</v>
      </c>
      <c r="J55" s="1"/>
      <c r="K55" s="1">
        <v>39</v>
      </c>
      <c r="L55" s="1">
        <v>112</v>
      </c>
      <c r="M55" s="1">
        <v>23</v>
      </c>
      <c r="N55" s="1">
        <v>39</v>
      </c>
      <c r="O55" s="1">
        <v>17</v>
      </c>
      <c r="P55" s="1">
        <v>0</v>
      </c>
      <c r="Q55" s="1">
        <f t="shared" si="0"/>
        <v>47.46153846153846</v>
      </c>
      <c r="R55" s="1"/>
    </row>
    <row r="56" spans="1:18" x14ac:dyDescent="0.25">
      <c r="A56">
        <v>2025</v>
      </c>
      <c r="B56" s="1"/>
      <c r="C56" s="1">
        <v>76</v>
      </c>
      <c r="D56" s="1">
        <v>99</v>
      </c>
      <c r="E56" s="1">
        <v>30</v>
      </c>
      <c r="F56" s="1">
        <v>76</v>
      </c>
      <c r="G56" s="1">
        <v>40</v>
      </c>
      <c r="H56" s="1">
        <v>132</v>
      </c>
      <c r="I56" s="1"/>
      <c r="J56" s="1"/>
      <c r="K56" s="1">
        <v>96</v>
      </c>
      <c r="L56" s="1">
        <v>99</v>
      </c>
      <c r="M56" s="1">
        <v>70</v>
      </c>
      <c r="N56" s="1">
        <v>45</v>
      </c>
      <c r="O56" s="1">
        <v>29</v>
      </c>
      <c r="P56" s="1"/>
      <c r="Q56" s="1">
        <f t="shared" si="0"/>
        <v>72</v>
      </c>
      <c r="R56" s="1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6"/>
  <sheetViews>
    <sheetView workbookViewId="0">
      <selection activeCell="U1" sqref="U1"/>
    </sheetView>
  </sheetViews>
  <sheetFormatPr defaultRowHeight="15" x14ac:dyDescent="0.25"/>
  <sheetData>
    <row r="1" spans="1:21" ht="75" x14ac:dyDescent="0.25">
      <c r="B1" t="s">
        <v>135</v>
      </c>
      <c r="C1" t="s">
        <v>136</v>
      </c>
      <c r="D1" t="s">
        <v>137</v>
      </c>
      <c r="E1" t="s">
        <v>138</v>
      </c>
      <c r="F1" t="s">
        <v>139</v>
      </c>
      <c r="G1" t="s">
        <v>140</v>
      </c>
      <c r="H1" t="s">
        <v>141</v>
      </c>
      <c r="I1" t="s">
        <v>142</v>
      </c>
      <c r="J1" t="s">
        <v>143</v>
      </c>
      <c r="K1" t="s">
        <v>144</v>
      </c>
      <c r="L1" t="s">
        <v>145</v>
      </c>
      <c r="M1" t="s">
        <v>146</v>
      </c>
      <c r="N1" t="s">
        <v>147</v>
      </c>
      <c r="O1" t="s">
        <v>148</v>
      </c>
      <c r="P1" t="s">
        <v>149</v>
      </c>
      <c r="Q1" t="s">
        <v>150</v>
      </c>
      <c r="R1" t="s">
        <v>151</v>
      </c>
      <c r="S1" t="s">
        <v>152</v>
      </c>
      <c r="T1" t="s">
        <v>153</v>
      </c>
      <c r="U1" s="3" t="s">
        <v>213</v>
      </c>
    </row>
    <row r="2" spans="1:21" x14ac:dyDescent="0.25">
      <c r="A2">
        <v>1971</v>
      </c>
      <c r="B2" s="1"/>
      <c r="C2" s="1"/>
      <c r="D2" s="1"/>
      <c r="E2" s="1">
        <v>61</v>
      </c>
      <c r="F2" s="1">
        <v>71</v>
      </c>
      <c r="G2" s="1"/>
      <c r="H2" s="1"/>
      <c r="I2" s="1"/>
      <c r="J2" s="1">
        <v>92</v>
      </c>
      <c r="K2" s="1">
        <v>0</v>
      </c>
      <c r="L2" s="1">
        <v>139</v>
      </c>
      <c r="M2" s="1">
        <v>53</v>
      </c>
      <c r="N2" s="1">
        <v>105</v>
      </c>
      <c r="O2" s="1"/>
      <c r="P2" s="1"/>
      <c r="Q2" s="1">
        <v>69</v>
      </c>
      <c r="R2" s="1">
        <v>52</v>
      </c>
      <c r="S2" s="1">
        <v>133</v>
      </c>
      <c r="T2" s="1">
        <v>26</v>
      </c>
      <c r="U2" s="1">
        <f>AVERAGE(B2:T2)</f>
        <v>72.818181818181813</v>
      </c>
    </row>
    <row r="3" spans="1:21" x14ac:dyDescent="0.25">
      <c r="A3">
        <v>1972</v>
      </c>
      <c r="B3" s="1"/>
      <c r="C3" s="1"/>
      <c r="D3" s="1"/>
      <c r="E3" s="1">
        <v>59</v>
      </c>
      <c r="F3" s="1">
        <v>49</v>
      </c>
      <c r="G3" s="1"/>
      <c r="H3" s="1"/>
      <c r="I3" s="1"/>
      <c r="J3" s="1">
        <v>55</v>
      </c>
      <c r="K3" s="1">
        <v>52</v>
      </c>
      <c r="L3" s="1">
        <v>75</v>
      </c>
      <c r="M3" s="1">
        <v>52</v>
      </c>
      <c r="N3" s="1">
        <v>61</v>
      </c>
      <c r="O3" s="1"/>
      <c r="P3" s="1"/>
      <c r="Q3" s="1">
        <v>42</v>
      </c>
      <c r="R3" s="1">
        <v>55</v>
      </c>
      <c r="S3" s="1">
        <v>45</v>
      </c>
      <c r="T3" s="1">
        <v>31</v>
      </c>
      <c r="U3" s="1">
        <f t="shared" ref="U3:U56" si="0">AVERAGE(B3:T3)</f>
        <v>52.363636363636367</v>
      </c>
    </row>
    <row r="4" spans="1:21" x14ac:dyDescent="0.25">
      <c r="A4">
        <v>1973</v>
      </c>
      <c r="B4" s="1"/>
      <c r="C4" s="1"/>
      <c r="D4" s="1"/>
      <c r="E4" s="1">
        <v>56</v>
      </c>
      <c r="F4" s="1">
        <v>41</v>
      </c>
      <c r="G4" s="1"/>
      <c r="H4" s="1"/>
      <c r="I4" s="1"/>
      <c r="J4" s="1">
        <v>111</v>
      </c>
      <c r="K4" s="1">
        <v>57</v>
      </c>
      <c r="L4" s="1">
        <v>80</v>
      </c>
      <c r="M4" s="1">
        <v>51</v>
      </c>
      <c r="N4" s="1">
        <v>66</v>
      </c>
      <c r="O4" s="1"/>
      <c r="P4" s="1"/>
      <c r="Q4" s="1">
        <v>39</v>
      </c>
      <c r="R4" s="1">
        <v>89</v>
      </c>
      <c r="S4" s="1">
        <v>70</v>
      </c>
      <c r="T4" s="1">
        <v>36</v>
      </c>
      <c r="U4" s="1">
        <f t="shared" si="0"/>
        <v>63.272727272727273</v>
      </c>
    </row>
    <row r="5" spans="1:21" x14ac:dyDescent="0.25">
      <c r="A5">
        <v>1974</v>
      </c>
      <c r="B5" s="1"/>
      <c r="C5" s="1"/>
      <c r="D5" s="1"/>
      <c r="E5" s="1">
        <v>51</v>
      </c>
      <c r="F5" s="1">
        <v>23</v>
      </c>
      <c r="G5" s="1"/>
      <c r="H5" s="1"/>
      <c r="I5" s="1"/>
      <c r="J5" s="1">
        <v>73</v>
      </c>
      <c r="K5" s="1">
        <v>25</v>
      </c>
      <c r="L5" s="1">
        <v>45</v>
      </c>
      <c r="M5" s="1">
        <v>38</v>
      </c>
      <c r="N5" s="1">
        <v>24</v>
      </c>
      <c r="O5" s="1"/>
      <c r="P5" s="1"/>
      <c r="Q5" s="1">
        <v>27</v>
      </c>
      <c r="R5" s="1">
        <v>63</v>
      </c>
      <c r="S5" s="1">
        <v>60</v>
      </c>
      <c r="T5" s="1">
        <v>29</v>
      </c>
      <c r="U5" s="1">
        <f t="shared" si="0"/>
        <v>41.636363636363633</v>
      </c>
    </row>
    <row r="6" spans="1:21" x14ac:dyDescent="0.25">
      <c r="A6">
        <v>1975</v>
      </c>
      <c r="B6" s="1"/>
      <c r="C6" s="1"/>
      <c r="D6" s="1"/>
      <c r="E6" s="1">
        <v>60</v>
      </c>
      <c r="F6" s="1">
        <v>42</v>
      </c>
      <c r="G6" s="1"/>
      <c r="H6" s="1"/>
      <c r="I6" s="1"/>
      <c r="J6" s="1">
        <v>96</v>
      </c>
      <c r="K6" s="1">
        <v>40</v>
      </c>
      <c r="L6" s="1">
        <v>71</v>
      </c>
      <c r="M6" s="1">
        <v>64</v>
      </c>
      <c r="N6" s="1">
        <v>51</v>
      </c>
      <c r="O6" s="1"/>
      <c r="P6" s="1"/>
      <c r="Q6" s="1">
        <v>30</v>
      </c>
      <c r="R6" s="1">
        <v>56</v>
      </c>
      <c r="S6" s="1">
        <v>62</v>
      </c>
      <c r="T6" s="1">
        <v>0</v>
      </c>
      <c r="U6" s="1">
        <f t="shared" si="0"/>
        <v>52</v>
      </c>
    </row>
    <row r="7" spans="1:21" x14ac:dyDescent="0.25">
      <c r="A7">
        <v>1976</v>
      </c>
      <c r="B7" s="1"/>
      <c r="C7" s="1"/>
      <c r="D7" s="1"/>
      <c r="E7" s="1">
        <v>104</v>
      </c>
      <c r="F7" s="1">
        <v>64</v>
      </c>
      <c r="G7" s="1"/>
      <c r="H7" s="1"/>
      <c r="I7" s="1"/>
      <c r="J7" s="1">
        <v>84</v>
      </c>
      <c r="K7" s="1">
        <v>105</v>
      </c>
      <c r="L7" s="1">
        <v>84</v>
      </c>
      <c r="M7" s="1">
        <v>66</v>
      </c>
      <c r="N7" s="1">
        <v>86</v>
      </c>
      <c r="O7" s="1"/>
      <c r="P7" s="1"/>
      <c r="Q7" s="1">
        <v>56</v>
      </c>
      <c r="R7" s="1">
        <v>61</v>
      </c>
      <c r="S7" s="1">
        <v>126</v>
      </c>
      <c r="T7" s="1">
        <v>26</v>
      </c>
      <c r="U7" s="1">
        <f t="shared" si="0"/>
        <v>78.36363636363636</v>
      </c>
    </row>
    <row r="8" spans="1:21" x14ac:dyDescent="0.25">
      <c r="A8">
        <v>1977</v>
      </c>
      <c r="B8" s="1"/>
      <c r="C8" s="1"/>
      <c r="D8" s="1"/>
      <c r="E8" s="1">
        <v>102</v>
      </c>
      <c r="F8" s="1">
        <v>71</v>
      </c>
      <c r="G8" s="1"/>
      <c r="H8" s="1"/>
      <c r="I8" s="1"/>
      <c r="J8" s="1">
        <v>109</v>
      </c>
      <c r="K8" s="1">
        <v>58</v>
      </c>
      <c r="L8" s="1">
        <v>68</v>
      </c>
      <c r="M8" s="1">
        <v>83</v>
      </c>
      <c r="N8" s="1">
        <v>74</v>
      </c>
      <c r="O8" s="1"/>
      <c r="P8" s="1"/>
      <c r="Q8" s="1">
        <v>100</v>
      </c>
      <c r="R8" s="1">
        <v>31</v>
      </c>
      <c r="S8" s="1">
        <v>171</v>
      </c>
      <c r="T8" s="1">
        <v>45</v>
      </c>
      <c r="U8" s="1">
        <f t="shared" si="0"/>
        <v>82.909090909090907</v>
      </c>
    </row>
    <row r="9" spans="1:21" x14ac:dyDescent="0.25">
      <c r="A9">
        <v>1978</v>
      </c>
      <c r="B9" s="1">
        <v>145</v>
      </c>
      <c r="C9" s="1">
        <v>61.99</v>
      </c>
      <c r="D9" s="1">
        <v>111</v>
      </c>
      <c r="E9" s="1">
        <v>92.4</v>
      </c>
      <c r="F9" s="1">
        <v>76.81</v>
      </c>
      <c r="G9" s="1">
        <v>64.8</v>
      </c>
      <c r="H9" s="1">
        <v>0</v>
      </c>
      <c r="I9" s="1">
        <v>118.8</v>
      </c>
      <c r="J9" s="1">
        <v>66.5</v>
      </c>
      <c r="K9" s="1">
        <v>51.3</v>
      </c>
      <c r="L9" s="1">
        <v>89.9</v>
      </c>
      <c r="M9" s="1">
        <v>50.4</v>
      </c>
      <c r="N9" s="1">
        <v>40.799999999999997</v>
      </c>
      <c r="O9" s="1">
        <v>78</v>
      </c>
      <c r="P9" s="1">
        <v>65</v>
      </c>
      <c r="Q9" s="1">
        <v>72</v>
      </c>
      <c r="R9" s="1">
        <v>63</v>
      </c>
      <c r="S9" s="1">
        <v>118.8</v>
      </c>
      <c r="T9" s="1">
        <v>14.5</v>
      </c>
      <c r="U9" s="1">
        <f t="shared" si="0"/>
        <v>72.68421052631578</v>
      </c>
    </row>
    <row r="10" spans="1:21" x14ac:dyDescent="0.25">
      <c r="A10">
        <v>1979</v>
      </c>
      <c r="B10" s="1">
        <v>31</v>
      </c>
      <c r="C10" s="1">
        <v>145.69999999999999</v>
      </c>
      <c r="D10" s="1">
        <v>51</v>
      </c>
      <c r="E10" s="1">
        <v>64.599999999999994</v>
      </c>
      <c r="F10" s="1">
        <v>71.33</v>
      </c>
      <c r="G10" s="1">
        <v>83.61</v>
      </c>
      <c r="H10" s="1">
        <v>0</v>
      </c>
      <c r="I10" s="1">
        <v>102</v>
      </c>
      <c r="J10" s="1">
        <v>117.6</v>
      </c>
      <c r="K10" s="1">
        <v>72.099999999999994</v>
      </c>
      <c r="L10" s="1">
        <v>63.8</v>
      </c>
      <c r="M10" s="1">
        <v>47.6</v>
      </c>
      <c r="N10" s="1">
        <v>44.8</v>
      </c>
      <c r="O10" s="1">
        <v>64</v>
      </c>
      <c r="P10" s="1">
        <v>68.2</v>
      </c>
      <c r="Q10" s="1">
        <v>66.7</v>
      </c>
      <c r="R10" s="1">
        <v>30</v>
      </c>
      <c r="S10" s="1">
        <v>112</v>
      </c>
      <c r="T10" s="1">
        <v>22.4</v>
      </c>
      <c r="U10" s="1">
        <f t="shared" si="0"/>
        <v>66.23368421052632</v>
      </c>
    </row>
    <row r="11" spans="1:21" x14ac:dyDescent="0.25">
      <c r="A11">
        <v>1980</v>
      </c>
      <c r="B11" s="1">
        <v>76</v>
      </c>
      <c r="C11" s="1">
        <v>52</v>
      </c>
      <c r="D11" s="1">
        <v>73</v>
      </c>
      <c r="E11" s="1">
        <v>103.61</v>
      </c>
      <c r="F11" s="1">
        <v>112.2</v>
      </c>
      <c r="G11" s="1">
        <v>78.2</v>
      </c>
      <c r="H11" s="1">
        <v>0</v>
      </c>
      <c r="I11" s="1">
        <v>92.4</v>
      </c>
      <c r="J11" s="1">
        <v>70</v>
      </c>
      <c r="K11" s="1">
        <v>84.1</v>
      </c>
      <c r="L11" s="1">
        <v>55</v>
      </c>
      <c r="M11" s="1">
        <v>61.2</v>
      </c>
      <c r="N11" s="1">
        <v>80.599999999999994</v>
      </c>
      <c r="O11" s="1">
        <v>75.599999999999994</v>
      </c>
      <c r="P11" s="1">
        <v>83.2</v>
      </c>
      <c r="Q11" s="1">
        <v>93</v>
      </c>
      <c r="R11" s="1">
        <v>46.4</v>
      </c>
      <c r="S11" s="1">
        <v>105.6</v>
      </c>
      <c r="T11" s="1">
        <v>27.3</v>
      </c>
      <c r="U11" s="1">
        <f t="shared" si="0"/>
        <v>72.074210526315795</v>
      </c>
    </row>
    <row r="12" spans="1:21" x14ac:dyDescent="0.25">
      <c r="A12">
        <v>1981</v>
      </c>
      <c r="B12" s="1">
        <v>48</v>
      </c>
      <c r="C12" s="1">
        <v>71.3</v>
      </c>
      <c r="D12" s="1">
        <v>66</v>
      </c>
      <c r="E12" s="1">
        <v>85.8</v>
      </c>
      <c r="F12" s="1">
        <v>50</v>
      </c>
      <c r="G12" s="1">
        <v>64</v>
      </c>
      <c r="H12" s="1">
        <v>0</v>
      </c>
      <c r="I12" s="1">
        <v>78</v>
      </c>
      <c r="J12" s="1">
        <v>33.33</v>
      </c>
      <c r="K12" s="1">
        <v>59.4</v>
      </c>
      <c r="L12" s="1">
        <v>41.6</v>
      </c>
      <c r="M12" s="1">
        <v>49.5</v>
      </c>
      <c r="N12" s="1">
        <v>40.799999999999997</v>
      </c>
      <c r="O12" s="1">
        <v>43.7</v>
      </c>
      <c r="P12" s="1">
        <v>46.88</v>
      </c>
      <c r="Q12" s="1">
        <v>0</v>
      </c>
      <c r="R12" s="1">
        <v>58</v>
      </c>
      <c r="S12" s="1">
        <v>58.8</v>
      </c>
      <c r="T12" s="1">
        <v>30</v>
      </c>
      <c r="U12" s="1">
        <f t="shared" si="0"/>
        <v>48.69</v>
      </c>
    </row>
    <row r="13" spans="1:21" x14ac:dyDescent="0.25">
      <c r="A13">
        <v>1982</v>
      </c>
      <c r="B13" s="1">
        <v>90</v>
      </c>
      <c r="C13" s="1">
        <v>57.6</v>
      </c>
      <c r="D13" s="1">
        <v>55</v>
      </c>
      <c r="E13" s="1">
        <v>78</v>
      </c>
      <c r="F13" s="1">
        <v>85.1</v>
      </c>
      <c r="G13" s="1">
        <v>84</v>
      </c>
      <c r="H13" s="1">
        <v>0</v>
      </c>
      <c r="I13" s="1">
        <v>112.5</v>
      </c>
      <c r="J13" s="1">
        <v>79.2</v>
      </c>
      <c r="K13" s="1">
        <v>155.80000000000001</v>
      </c>
      <c r="L13" s="1">
        <v>44.8</v>
      </c>
      <c r="M13" s="1">
        <v>66</v>
      </c>
      <c r="N13" s="1">
        <v>46.8</v>
      </c>
      <c r="O13" s="1">
        <v>39.6</v>
      </c>
      <c r="P13" s="1">
        <v>75</v>
      </c>
      <c r="Q13" s="1">
        <v>75</v>
      </c>
      <c r="R13" s="1">
        <v>72</v>
      </c>
      <c r="S13" s="1">
        <v>45.9</v>
      </c>
      <c r="T13" s="1">
        <v>55.1</v>
      </c>
      <c r="U13" s="1">
        <f t="shared" si="0"/>
        <v>69.336842105263159</v>
      </c>
    </row>
    <row r="14" spans="1:21" x14ac:dyDescent="0.25">
      <c r="A14">
        <v>1983</v>
      </c>
      <c r="B14" s="1">
        <v>68</v>
      </c>
      <c r="C14" s="1">
        <v>105.6</v>
      </c>
      <c r="D14" s="1">
        <v>60</v>
      </c>
      <c r="E14" s="1">
        <v>99.21</v>
      </c>
      <c r="F14" s="1">
        <v>66.63</v>
      </c>
      <c r="G14" s="1">
        <v>84.07</v>
      </c>
      <c r="H14" s="1">
        <v>125.4</v>
      </c>
      <c r="I14" s="1">
        <v>99</v>
      </c>
      <c r="J14" s="1">
        <v>92.41</v>
      </c>
      <c r="K14" s="1">
        <v>160</v>
      </c>
      <c r="L14" s="1">
        <v>55.2</v>
      </c>
      <c r="M14" s="1">
        <v>34.1</v>
      </c>
      <c r="N14" s="1">
        <v>70.2</v>
      </c>
      <c r="O14" s="1">
        <v>59.83</v>
      </c>
      <c r="P14" s="1">
        <v>42.25</v>
      </c>
      <c r="Q14" s="1">
        <v>64</v>
      </c>
      <c r="R14" s="1">
        <v>64.400000000000006</v>
      </c>
      <c r="S14" s="1">
        <v>96</v>
      </c>
      <c r="T14" s="1">
        <v>21.7</v>
      </c>
      <c r="U14" s="1">
        <f t="shared" si="0"/>
        <v>77.263157894736835</v>
      </c>
    </row>
    <row r="15" spans="1:21" x14ac:dyDescent="0.25">
      <c r="A15">
        <v>1984</v>
      </c>
      <c r="B15" s="1">
        <v>65</v>
      </c>
      <c r="C15" s="1">
        <v>91.2</v>
      </c>
      <c r="D15" s="1">
        <v>60</v>
      </c>
      <c r="E15" s="1">
        <v>49.4</v>
      </c>
      <c r="F15" s="1">
        <v>49.6</v>
      </c>
      <c r="G15" s="1">
        <v>64.8</v>
      </c>
      <c r="H15" s="1">
        <v>60</v>
      </c>
      <c r="I15" s="1">
        <v>73.5</v>
      </c>
      <c r="J15" s="1">
        <v>37.700000000000003</v>
      </c>
      <c r="K15" s="1">
        <v>134.4</v>
      </c>
      <c r="L15" s="1">
        <v>83</v>
      </c>
      <c r="M15" s="1">
        <v>43.5</v>
      </c>
      <c r="N15" s="1">
        <v>52.5</v>
      </c>
      <c r="O15" s="1">
        <v>48</v>
      </c>
      <c r="P15" s="1">
        <v>49.4</v>
      </c>
      <c r="Q15" s="1">
        <v>48</v>
      </c>
      <c r="R15" s="1">
        <v>49.32</v>
      </c>
      <c r="S15" s="1">
        <v>72</v>
      </c>
      <c r="T15" s="1">
        <v>41.63</v>
      </c>
      <c r="U15" s="1">
        <f t="shared" si="0"/>
        <v>61.734210526315792</v>
      </c>
    </row>
    <row r="16" spans="1:21" x14ac:dyDescent="0.25">
      <c r="A16">
        <v>1985</v>
      </c>
      <c r="B16" s="1">
        <v>53</v>
      </c>
      <c r="C16" s="1">
        <v>52.2</v>
      </c>
      <c r="D16" s="1">
        <v>94</v>
      </c>
      <c r="E16" s="1">
        <v>77</v>
      </c>
      <c r="F16" s="1">
        <v>100.8</v>
      </c>
      <c r="G16" s="1">
        <v>87</v>
      </c>
      <c r="H16" s="1">
        <v>89.1</v>
      </c>
      <c r="I16" s="1">
        <v>70</v>
      </c>
      <c r="J16" s="1">
        <v>74.400000000000006</v>
      </c>
      <c r="K16" s="1">
        <v>72</v>
      </c>
      <c r="L16" s="1">
        <v>59</v>
      </c>
      <c r="M16" s="1">
        <v>115.5</v>
      </c>
      <c r="N16" s="1">
        <v>41.6</v>
      </c>
      <c r="O16" s="1">
        <v>41.4</v>
      </c>
      <c r="P16" s="1">
        <v>78.3</v>
      </c>
      <c r="Q16" s="1">
        <v>105</v>
      </c>
      <c r="R16" s="1">
        <v>35.200000000000003</v>
      </c>
      <c r="S16" s="1">
        <v>82.8</v>
      </c>
      <c r="T16" s="1">
        <v>31.2</v>
      </c>
      <c r="U16" s="1">
        <f t="shared" si="0"/>
        <v>71.55263157894737</v>
      </c>
    </row>
    <row r="17" spans="1:21" x14ac:dyDescent="0.25">
      <c r="A17">
        <v>1986</v>
      </c>
      <c r="B17" s="1">
        <v>53</v>
      </c>
      <c r="C17" s="1">
        <v>86</v>
      </c>
      <c r="D17" s="1">
        <v>70</v>
      </c>
      <c r="E17" s="1">
        <v>82</v>
      </c>
      <c r="F17" s="1">
        <v>65</v>
      </c>
      <c r="G17" s="1">
        <v>84</v>
      </c>
      <c r="H17" s="1">
        <v>96</v>
      </c>
      <c r="I17" s="1">
        <v>101</v>
      </c>
      <c r="J17" s="1">
        <v>98</v>
      </c>
      <c r="K17" s="1">
        <v>85</v>
      </c>
      <c r="L17" s="1">
        <v>68</v>
      </c>
      <c r="M17" s="1">
        <v>99</v>
      </c>
      <c r="N17" s="1">
        <v>65</v>
      </c>
      <c r="O17" s="1">
        <v>59</v>
      </c>
      <c r="P17" s="1">
        <v>70</v>
      </c>
      <c r="Q17" s="1">
        <v>67</v>
      </c>
      <c r="R17" s="1">
        <v>42</v>
      </c>
      <c r="S17" s="1">
        <v>79</v>
      </c>
      <c r="T17" s="1">
        <v>74</v>
      </c>
      <c r="U17" s="1">
        <f t="shared" si="0"/>
        <v>75.94736842105263</v>
      </c>
    </row>
    <row r="18" spans="1:21" x14ac:dyDescent="0.25">
      <c r="A18">
        <v>1987</v>
      </c>
      <c r="B18" s="1">
        <v>70</v>
      </c>
      <c r="C18" s="1">
        <v>105</v>
      </c>
      <c r="D18" s="1">
        <v>116</v>
      </c>
      <c r="E18" s="1">
        <v>88</v>
      </c>
      <c r="F18" s="1">
        <v>92</v>
      </c>
      <c r="G18" s="1">
        <v>92</v>
      </c>
      <c r="H18" s="1">
        <v>119</v>
      </c>
      <c r="I18" s="1">
        <v>83</v>
      </c>
      <c r="J18" s="1">
        <v>103</v>
      </c>
      <c r="K18" s="1">
        <v>99</v>
      </c>
      <c r="L18" s="1">
        <v>65</v>
      </c>
      <c r="M18" s="1">
        <v>90</v>
      </c>
      <c r="N18" s="1">
        <v>87</v>
      </c>
      <c r="O18" s="1">
        <v>58</v>
      </c>
      <c r="P18" s="1">
        <v>101</v>
      </c>
      <c r="Q18" s="1">
        <v>84</v>
      </c>
      <c r="R18" s="1">
        <v>78</v>
      </c>
      <c r="S18" s="1">
        <v>78</v>
      </c>
      <c r="T18" s="1">
        <v>67</v>
      </c>
      <c r="U18" s="1">
        <f t="shared" si="0"/>
        <v>88.15789473684211</v>
      </c>
    </row>
    <row r="19" spans="1:21" x14ac:dyDescent="0.25">
      <c r="A19">
        <v>1988</v>
      </c>
      <c r="B19" s="1">
        <v>75</v>
      </c>
      <c r="C19" s="1">
        <v>76</v>
      </c>
      <c r="D19" s="1">
        <v>56</v>
      </c>
      <c r="E19" s="1">
        <v>69</v>
      </c>
      <c r="F19" s="1">
        <v>59</v>
      </c>
      <c r="G19" s="1">
        <v>66</v>
      </c>
      <c r="H19" s="1">
        <v>62</v>
      </c>
      <c r="I19" s="1">
        <v>78</v>
      </c>
      <c r="J19" s="1">
        <v>65</v>
      </c>
      <c r="K19" s="1">
        <v>61</v>
      </c>
      <c r="L19" s="1">
        <v>36</v>
      </c>
      <c r="M19" s="1">
        <v>63</v>
      </c>
      <c r="N19" s="1">
        <v>46</v>
      </c>
      <c r="O19" s="1">
        <v>55</v>
      </c>
      <c r="P19" s="1">
        <v>59</v>
      </c>
      <c r="Q19" s="1">
        <v>76</v>
      </c>
      <c r="R19" s="1">
        <v>65</v>
      </c>
      <c r="S19" s="1">
        <v>51</v>
      </c>
      <c r="T19" s="1">
        <v>41</v>
      </c>
      <c r="U19" s="1">
        <f t="shared" si="0"/>
        <v>61</v>
      </c>
    </row>
    <row r="20" spans="1:21" x14ac:dyDescent="0.25">
      <c r="A20">
        <v>1989</v>
      </c>
      <c r="B20" s="1">
        <v>81</v>
      </c>
      <c r="C20" s="1">
        <v>81</v>
      </c>
      <c r="D20" s="1">
        <v>104</v>
      </c>
      <c r="E20" s="1">
        <v>109</v>
      </c>
      <c r="F20" s="1">
        <v>129</v>
      </c>
      <c r="G20" s="1">
        <v>109</v>
      </c>
      <c r="H20" s="1">
        <v>130</v>
      </c>
      <c r="I20" s="1">
        <v>101</v>
      </c>
      <c r="J20" s="1">
        <v>145</v>
      </c>
      <c r="K20" s="1">
        <v>214</v>
      </c>
      <c r="L20" s="1">
        <v>80</v>
      </c>
      <c r="M20" s="1">
        <v>90</v>
      </c>
      <c r="N20" s="1">
        <v>48</v>
      </c>
      <c r="O20" s="1">
        <v>70</v>
      </c>
      <c r="P20" s="1">
        <v>67</v>
      </c>
      <c r="Q20" s="1">
        <v>86</v>
      </c>
      <c r="R20" s="1">
        <v>71</v>
      </c>
      <c r="S20" s="1">
        <v>81</v>
      </c>
      <c r="T20" s="1">
        <v>28</v>
      </c>
      <c r="U20" s="1">
        <f t="shared" si="0"/>
        <v>96</v>
      </c>
    </row>
    <row r="21" spans="1:21" x14ac:dyDescent="0.25">
      <c r="A21">
        <v>1990</v>
      </c>
      <c r="B21" s="1">
        <v>78</v>
      </c>
      <c r="C21" s="1">
        <v>76</v>
      </c>
      <c r="D21" s="1">
        <v>109</v>
      </c>
      <c r="E21" s="1">
        <v>65</v>
      </c>
      <c r="F21" s="1">
        <v>68</v>
      </c>
      <c r="G21" s="1">
        <v>78</v>
      </c>
      <c r="H21" s="1">
        <v>96</v>
      </c>
      <c r="I21" s="1">
        <v>79</v>
      </c>
      <c r="J21" s="1">
        <v>127</v>
      </c>
      <c r="K21" s="1">
        <v>143</v>
      </c>
      <c r="L21" s="1">
        <v>56</v>
      </c>
      <c r="M21" s="1">
        <v>60</v>
      </c>
      <c r="N21" s="1">
        <v>45</v>
      </c>
      <c r="O21" s="1">
        <v>110</v>
      </c>
      <c r="P21" s="1">
        <v>68</v>
      </c>
      <c r="Q21" s="1">
        <v>55</v>
      </c>
      <c r="R21" s="1">
        <v>62</v>
      </c>
      <c r="S21" s="1">
        <v>70</v>
      </c>
      <c r="T21" s="1">
        <v>32</v>
      </c>
      <c r="U21" s="1">
        <f t="shared" si="0"/>
        <v>77.736842105263165</v>
      </c>
    </row>
    <row r="22" spans="1:21" x14ac:dyDescent="0.25">
      <c r="A22">
        <v>1991</v>
      </c>
      <c r="B22" s="1">
        <v>68</v>
      </c>
      <c r="C22" s="1">
        <v>65</v>
      </c>
      <c r="D22" s="1">
        <v>37</v>
      </c>
      <c r="E22" s="1">
        <v>41</v>
      </c>
      <c r="F22" s="1">
        <v>39</v>
      </c>
      <c r="G22" s="1">
        <v>64</v>
      </c>
      <c r="H22" s="1">
        <v>86</v>
      </c>
      <c r="I22" s="1">
        <v>65</v>
      </c>
      <c r="J22" s="1">
        <v>72</v>
      </c>
      <c r="K22" s="1">
        <v>58</v>
      </c>
      <c r="L22" s="1">
        <v>37</v>
      </c>
      <c r="M22" s="1">
        <v>46</v>
      </c>
      <c r="N22" s="1">
        <v>26</v>
      </c>
      <c r="O22" s="1">
        <v>59</v>
      </c>
      <c r="P22" s="1">
        <v>48</v>
      </c>
      <c r="Q22" s="1">
        <v>30</v>
      </c>
      <c r="R22" s="1"/>
      <c r="S22" s="1">
        <v>58</v>
      </c>
      <c r="T22" s="1">
        <v>74</v>
      </c>
      <c r="U22" s="1">
        <f t="shared" si="0"/>
        <v>54.055555555555557</v>
      </c>
    </row>
    <row r="23" spans="1:21" x14ac:dyDescent="0.25">
      <c r="A23">
        <v>1992</v>
      </c>
      <c r="B23" s="1">
        <v>118</v>
      </c>
      <c r="C23" s="1">
        <v>109</v>
      </c>
      <c r="D23" s="1">
        <v>111</v>
      </c>
      <c r="E23" s="1">
        <v>63</v>
      </c>
      <c r="F23" s="1">
        <v>53</v>
      </c>
      <c r="G23" s="1">
        <v>83</v>
      </c>
      <c r="H23" s="1">
        <v>86</v>
      </c>
      <c r="I23" s="1">
        <v>38</v>
      </c>
      <c r="J23" s="1">
        <v>158</v>
      </c>
      <c r="K23" s="1">
        <v>158</v>
      </c>
      <c r="L23" s="1">
        <v>90</v>
      </c>
      <c r="M23" s="1">
        <v>75</v>
      </c>
      <c r="N23" s="1">
        <v>51</v>
      </c>
      <c r="O23" s="1">
        <v>102</v>
      </c>
      <c r="P23" s="1">
        <v>70</v>
      </c>
      <c r="Q23" s="1">
        <v>72</v>
      </c>
      <c r="R23" s="1"/>
      <c r="S23" s="1">
        <v>69</v>
      </c>
      <c r="T23" s="1">
        <v>48</v>
      </c>
      <c r="U23" s="1">
        <f t="shared" si="0"/>
        <v>86.333333333333329</v>
      </c>
    </row>
    <row r="24" spans="1:21" x14ac:dyDescent="0.25">
      <c r="A24">
        <v>1993</v>
      </c>
      <c r="B24" s="1">
        <v>61</v>
      </c>
      <c r="C24" s="1">
        <v>95</v>
      </c>
      <c r="D24" s="1">
        <v>90</v>
      </c>
      <c r="E24" s="1">
        <v>58</v>
      </c>
      <c r="F24" s="1">
        <v>54</v>
      </c>
      <c r="G24" s="1">
        <v>74</v>
      </c>
      <c r="H24" s="1">
        <v>97</v>
      </c>
      <c r="I24" s="1">
        <v>102</v>
      </c>
      <c r="J24" s="1">
        <v>149</v>
      </c>
      <c r="K24" s="1">
        <v>134</v>
      </c>
      <c r="L24" s="1">
        <v>109</v>
      </c>
      <c r="M24" s="1">
        <v>61</v>
      </c>
      <c r="N24" s="1">
        <v>76</v>
      </c>
      <c r="O24" s="1">
        <v>92</v>
      </c>
      <c r="P24" s="1">
        <v>73</v>
      </c>
      <c r="Q24" s="1">
        <v>60</v>
      </c>
      <c r="R24" s="1"/>
      <c r="S24" s="1">
        <v>70</v>
      </c>
      <c r="T24" s="1">
        <v>92</v>
      </c>
      <c r="U24" s="1">
        <f t="shared" si="0"/>
        <v>85.944444444444443</v>
      </c>
    </row>
    <row r="25" spans="1:21" x14ac:dyDescent="0.25">
      <c r="A25">
        <v>1994</v>
      </c>
      <c r="B25" s="1">
        <v>101</v>
      </c>
      <c r="C25" s="1"/>
      <c r="D25" s="1">
        <v>78</v>
      </c>
      <c r="E25" s="1">
        <v>54</v>
      </c>
      <c r="F25" s="1">
        <v>82</v>
      </c>
      <c r="G25" s="1">
        <v>91</v>
      </c>
      <c r="H25" s="1">
        <v>125</v>
      </c>
      <c r="I25" s="1">
        <v>71</v>
      </c>
      <c r="J25" s="1">
        <v>96</v>
      </c>
      <c r="K25" s="1">
        <v>109</v>
      </c>
      <c r="L25" s="1">
        <v>81</v>
      </c>
      <c r="M25" s="1">
        <v>72</v>
      </c>
      <c r="N25" s="1">
        <v>116</v>
      </c>
      <c r="O25" s="1">
        <v>109</v>
      </c>
      <c r="P25" s="1">
        <v>84</v>
      </c>
      <c r="Q25" s="1">
        <v>59</v>
      </c>
      <c r="R25" s="1"/>
      <c r="S25" s="1">
        <v>90</v>
      </c>
      <c r="T25" s="1">
        <v>60</v>
      </c>
      <c r="U25" s="1">
        <f t="shared" si="0"/>
        <v>86.941176470588232</v>
      </c>
    </row>
    <row r="26" spans="1:21" x14ac:dyDescent="0.25">
      <c r="A26">
        <v>1995</v>
      </c>
      <c r="B26" s="1">
        <v>82</v>
      </c>
      <c r="C26" s="1"/>
      <c r="D26" s="1">
        <v>73</v>
      </c>
      <c r="E26" s="1">
        <v>67</v>
      </c>
      <c r="F26" s="1">
        <v>47</v>
      </c>
      <c r="G26" s="1">
        <v>61</v>
      </c>
      <c r="H26" s="1">
        <v>72</v>
      </c>
      <c r="I26" s="1">
        <v>42</v>
      </c>
      <c r="J26" s="1">
        <v>48</v>
      </c>
      <c r="K26" s="1">
        <v>96</v>
      </c>
      <c r="L26" s="1">
        <v>81</v>
      </c>
      <c r="M26" s="1">
        <v>69</v>
      </c>
      <c r="N26" s="1">
        <v>73</v>
      </c>
      <c r="O26" s="1">
        <v>72</v>
      </c>
      <c r="P26" s="1">
        <v>58</v>
      </c>
      <c r="Q26" s="1">
        <v>40</v>
      </c>
      <c r="R26" s="1">
        <v>73</v>
      </c>
      <c r="S26" s="1">
        <v>67</v>
      </c>
      <c r="T26" s="1">
        <v>61</v>
      </c>
      <c r="U26" s="1">
        <f t="shared" si="0"/>
        <v>65.666666666666671</v>
      </c>
    </row>
    <row r="27" spans="1:21" x14ac:dyDescent="0.25">
      <c r="A27">
        <v>1996</v>
      </c>
      <c r="B27" s="1">
        <v>45</v>
      </c>
      <c r="C27" s="1"/>
      <c r="D27" s="1">
        <v>90</v>
      </c>
      <c r="E27" s="1">
        <v>51</v>
      </c>
      <c r="F27" s="1">
        <v>45</v>
      </c>
      <c r="G27" s="1">
        <v>59</v>
      </c>
      <c r="H27" s="1">
        <v>66</v>
      </c>
      <c r="I27" s="1">
        <v>35</v>
      </c>
      <c r="J27" s="1">
        <v>68</v>
      </c>
      <c r="K27" s="1">
        <v>36</v>
      </c>
      <c r="L27" s="1">
        <v>83</v>
      </c>
      <c r="M27" s="1">
        <v>58</v>
      </c>
      <c r="N27" s="1">
        <v>106</v>
      </c>
      <c r="O27" s="1">
        <v>72</v>
      </c>
      <c r="P27" s="1">
        <v>52</v>
      </c>
      <c r="Q27" s="1">
        <v>33</v>
      </c>
      <c r="R27" s="1">
        <v>64</v>
      </c>
      <c r="S27" s="1">
        <v>61</v>
      </c>
      <c r="T27" s="1">
        <v>31</v>
      </c>
      <c r="U27" s="1">
        <f t="shared" si="0"/>
        <v>58.611111111111114</v>
      </c>
    </row>
    <row r="28" spans="1:21" x14ac:dyDescent="0.25">
      <c r="A28">
        <v>1997</v>
      </c>
      <c r="B28" s="1">
        <v>69</v>
      </c>
      <c r="C28" s="1"/>
      <c r="D28" s="1">
        <v>119</v>
      </c>
      <c r="E28" s="1">
        <v>61</v>
      </c>
      <c r="F28" s="1">
        <v>61</v>
      </c>
      <c r="G28" s="1">
        <v>56</v>
      </c>
      <c r="H28" s="1">
        <v>90</v>
      </c>
      <c r="I28" s="1">
        <v>106</v>
      </c>
      <c r="J28" s="1">
        <v>166</v>
      </c>
      <c r="K28" s="1">
        <v>117</v>
      </c>
      <c r="L28" s="1">
        <v>102</v>
      </c>
      <c r="M28" s="1">
        <v>81</v>
      </c>
      <c r="N28" s="1">
        <v>140</v>
      </c>
      <c r="O28" s="1">
        <v>70</v>
      </c>
      <c r="P28" s="1">
        <v>86</v>
      </c>
      <c r="Q28" s="1">
        <v>59</v>
      </c>
      <c r="R28" s="1">
        <v>70</v>
      </c>
      <c r="S28" s="1">
        <v>96</v>
      </c>
      <c r="T28" s="1">
        <v>35</v>
      </c>
      <c r="U28" s="1">
        <f t="shared" si="0"/>
        <v>88</v>
      </c>
    </row>
    <row r="29" spans="1:21" x14ac:dyDescent="0.25">
      <c r="A29">
        <v>1998</v>
      </c>
      <c r="B29" s="1">
        <v>73</v>
      </c>
      <c r="C29" s="1"/>
      <c r="D29" s="1">
        <v>118</v>
      </c>
      <c r="E29" s="1">
        <v>40</v>
      </c>
      <c r="F29" s="1">
        <v>60</v>
      </c>
      <c r="G29" s="1">
        <v>64</v>
      </c>
      <c r="H29" s="1">
        <v>88</v>
      </c>
      <c r="I29" s="1">
        <v>87</v>
      </c>
      <c r="J29" s="1">
        <v>59</v>
      </c>
      <c r="K29" s="1">
        <v>95</v>
      </c>
      <c r="L29" s="1">
        <v>48</v>
      </c>
      <c r="M29" s="1">
        <v>40</v>
      </c>
      <c r="N29" s="1">
        <v>84</v>
      </c>
      <c r="O29" s="1">
        <v>56</v>
      </c>
      <c r="P29" s="1">
        <v>39</v>
      </c>
      <c r="Q29" s="1">
        <v>41</v>
      </c>
      <c r="R29" s="1">
        <v>120</v>
      </c>
      <c r="S29" s="1">
        <v>62</v>
      </c>
      <c r="T29" s="1">
        <v>48</v>
      </c>
      <c r="U29" s="1">
        <f t="shared" si="0"/>
        <v>67.888888888888886</v>
      </c>
    </row>
    <row r="30" spans="1:21" x14ac:dyDescent="0.25">
      <c r="A30">
        <v>1999</v>
      </c>
      <c r="B30" s="1">
        <v>53</v>
      </c>
      <c r="C30" s="1">
        <v>119</v>
      </c>
      <c r="D30" s="1">
        <v>127</v>
      </c>
      <c r="E30" s="1">
        <v>84</v>
      </c>
      <c r="F30" s="1">
        <v>81</v>
      </c>
      <c r="G30" s="1">
        <v>82</v>
      </c>
      <c r="H30" s="1">
        <v>141</v>
      </c>
      <c r="I30" s="1">
        <v>96</v>
      </c>
      <c r="J30" s="1">
        <v>133</v>
      </c>
      <c r="K30" s="1">
        <v>73</v>
      </c>
      <c r="L30" s="1">
        <v>86</v>
      </c>
      <c r="M30" s="1">
        <v>68</v>
      </c>
      <c r="N30" s="1">
        <v>96</v>
      </c>
      <c r="O30" s="1">
        <v>75</v>
      </c>
      <c r="P30" s="1">
        <v>87</v>
      </c>
      <c r="Q30" s="1">
        <v>101</v>
      </c>
      <c r="R30" s="1">
        <v>26</v>
      </c>
      <c r="S30" s="1">
        <v>83</v>
      </c>
      <c r="T30" s="1">
        <v>23</v>
      </c>
      <c r="U30" s="1">
        <f t="shared" si="0"/>
        <v>86</v>
      </c>
    </row>
    <row r="31" spans="1:21" x14ac:dyDescent="0.25">
      <c r="A31">
        <v>2000</v>
      </c>
      <c r="B31" s="1">
        <v>90</v>
      </c>
      <c r="C31" s="1">
        <v>159</v>
      </c>
      <c r="D31" s="1">
        <v>92</v>
      </c>
      <c r="E31" s="1">
        <v>48</v>
      </c>
      <c r="F31" s="1">
        <v>63</v>
      </c>
      <c r="G31" s="1">
        <v>59</v>
      </c>
      <c r="H31" s="1">
        <v>49</v>
      </c>
      <c r="I31" s="1">
        <v>49</v>
      </c>
      <c r="J31" s="1">
        <v>24</v>
      </c>
      <c r="K31" s="1">
        <v>99</v>
      </c>
      <c r="L31" s="1">
        <v>62</v>
      </c>
      <c r="M31" s="1">
        <v>39</v>
      </c>
      <c r="N31" s="1">
        <v>90</v>
      </c>
      <c r="O31" s="1">
        <v>50</v>
      </c>
      <c r="P31" s="1">
        <v>75</v>
      </c>
      <c r="Q31" s="1">
        <v>53</v>
      </c>
      <c r="R31" s="1">
        <v>120</v>
      </c>
      <c r="S31" s="1">
        <v>54</v>
      </c>
      <c r="T31" s="1">
        <v>51</v>
      </c>
      <c r="U31" s="1">
        <f t="shared" si="0"/>
        <v>69.78947368421052</v>
      </c>
    </row>
    <row r="32" spans="1:21" x14ac:dyDescent="0.25">
      <c r="A32">
        <v>2001</v>
      </c>
      <c r="B32" s="1">
        <v>84</v>
      </c>
      <c r="C32" s="1">
        <v>102</v>
      </c>
      <c r="D32" s="1">
        <v>98</v>
      </c>
      <c r="E32" s="1">
        <v>51</v>
      </c>
      <c r="F32" s="1">
        <v>88</v>
      </c>
      <c r="G32" s="1">
        <v>90</v>
      </c>
      <c r="H32" s="1">
        <v>90</v>
      </c>
      <c r="I32" s="1">
        <v>61</v>
      </c>
      <c r="J32" s="1">
        <v>86</v>
      </c>
      <c r="K32" s="1">
        <v>119</v>
      </c>
      <c r="L32" s="1">
        <v>113</v>
      </c>
      <c r="M32" s="1">
        <v>81</v>
      </c>
      <c r="N32" s="1">
        <v>207</v>
      </c>
      <c r="O32" s="1">
        <v>122</v>
      </c>
      <c r="P32" s="1">
        <v>114</v>
      </c>
      <c r="Q32" s="1">
        <v>70</v>
      </c>
      <c r="R32" s="1">
        <v>124</v>
      </c>
      <c r="S32" s="1">
        <v>78</v>
      </c>
      <c r="T32" s="1">
        <v>52</v>
      </c>
      <c r="U32" s="1">
        <f t="shared" si="0"/>
        <v>96.315789473684205</v>
      </c>
    </row>
    <row r="33" spans="1:21" x14ac:dyDescent="0.25">
      <c r="A33">
        <v>2002</v>
      </c>
      <c r="B33" s="1">
        <v>44</v>
      </c>
      <c r="C33" s="1">
        <v>138</v>
      </c>
      <c r="D33" s="1">
        <v>63</v>
      </c>
      <c r="E33" s="1">
        <v>50</v>
      </c>
      <c r="F33" s="1">
        <v>82</v>
      </c>
      <c r="G33" s="1">
        <v>64</v>
      </c>
      <c r="H33" s="1">
        <v>95</v>
      </c>
      <c r="I33" s="1">
        <v>38</v>
      </c>
      <c r="J33" s="1">
        <v>47</v>
      </c>
      <c r="K33" s="1">
        <v>95</v>
      </c>
      <c r="L33" s="1">
        <v>70</v>
      </c>
      <c r="M33" s="1">
        <v>41</v>
      </c>
      <c r="N33" s="1">
        <v>77</v>
      </c>
      <c r="O33" s="1">
        <v>97</v>
      </c>
      <c r="P33" s="1">
        <v>77</v>
      </c>
      <c r="Q33" s="1">
        <v>40</v>
      </c>
      <c r="R33" s="1">
        <v>59</v>
      </c>
      <c r="S33" s="1">
        <v>63</v>
      </c>
      <c r="T33" s="1">
        <v>35</v>
      </c>
      <c r="U33" s="1">
        <f t="shared" si="0"/>
        <v>67.10526315789474</v>
      </c>
    </row>
    <row r="34" spans="1:21" x14ac:dyDescent="0.25">
      <c r="A34">
        <v>2003</v>
      </c>
      <c r="B34" s="1">
        <v>86</v>
      </c>
      <c r="C34" s="1">
        <v>122</v>
      </c>
      <c r="D34" s="1">
        <v>57</v>
      </c>
      <c r="E34" s="1">
        <v>38</v>
      </c>
      <c r="F34" s="1">
        <v>51</v>
      </c>
      <c r="G34" s="1">
        <v>77</v>
      </c>
      <c r="H34" s="1">
        <v>58</v>
      </c>
      <c r="I34" s="1">
        <v>65</v>
      </c>
      <c r="J34" s="1">
        <v>59</v>
      </c>
      <c r="K34" s="1">
        <v>60</v>
      </c>
      <c r="L34" s="1">
        <v>101</v>
      </c>
      <c r="M34" s="1">
        <v>64</v>
      </c>
      <c r="N34" s="1">
        <v>105</v>
      </c>
      <c r="O34" s="1">
        <v>109</v>
      </c>
      <c r="P34" s="1">
        <v>55</v>
      </c>
      <c r="Q34" s="1">
        <v>48</v>
      </c>
      <c r="R34" s="1">
        <v>66</v>
      </c>
      <c r="S34" s="1">
        <v>77</v>
      </c>
      <c r="T34" s="1">
        <v>26</v>
      </c>
      <c r="U34" s="1">
        <f t="shared" si="0"/>
        <v>69.684210526315795</v>
      </c>
    </row>
    <row r="35" spans="1:21" x14ac:dyDescent="0.25">
      <c r="A35">
        <v>2004</v>
      </c>
      <c r="B35" s="1">
        <v>84</v>
      </c>
      <c r="C35" s="1">
        <v>92</v>
      </c>
      <c r="D35" s="1">
        <v>55</v>
      </c>
      <c r="E35" s="1">
        <v>53</v>
      </c>
      <c r="F35" s="1">
        <v>84</v>
      </c>
      <c r="G35" s="1">
        <v>43</v>
      </c>
      <c r="H35" s="1">
        <v>51</v>
      </c>
      <c r="I35" s="1">
        <v>49</v>
      </c>
      <c r="J35" s="1">
        <v>29</v>
      </c>
      <c r="K35" s="1">
        <v>86</v>
      </c>
      <c r="L35" s="1">
        <v>30</v>
      </c>
      <c r="M35" s="1">
        <v>46</v>
      </c>
      <c r="N35" s="1">
        <v>64</v>
      </c>
      <c r="O35" s="1">
        <v>80</v>
      </c>
      <c r="P35" s="1">
        <v>42</v>
      </c>
      <c r="Q35" s="1">
        <v>34</v>
      </c>
      <c r="R35" s="1">
        <v>63</v>
      </c>
      <c r="S35" s="1">
        <v>50</v>
      </c>
      <c r="T35" s="1">
        <v>28</v>
      </c>
      <c r="U35" s="1">
        <f t="shared" si="0"/>
        <v>55.94736842105263</v>
      </c>
    </row>
    <row r="36" spans="1:21" x14ac:dyDescent="0.25">
      <c r="A36">
        <v>2005</v>
      </c>
      <c r="B36" s="1">
        <v>96</v>
      </c>
      <c r="C36" s="1">
        <v>133</v>
      </c>
      <c r="D36" s="1">
        <v>125</v>
      </c>
      <c r="E36" s="1">
        <v>102</v>
      </c>
      <c r="F36" s="1">
        <v>83</v>
      </c>
      <c r="G36" s="1">
        <v>99</v>
      </c>
      <c r="H36" s="1">
        <v>90</v>
      </c>
      <c r="I36" s="1">
        <v>65</v>
      </c>
      <c r="J36" s="1">
        <v>94</v>
      </c>
      <c r="K36" s="1">
        <v>100</v>
      </c>
      <c r="L36" s="1">
        <v>70</v>
      </c>
      <c r="M36" s="1">
        <v>79</v>
      </c>
      <c r="N36" s="1">
        <v>128</v>
      </c>
      <c r="O36" s="1">
        <v>117</v>
      </c>
      <c r="P36" s="1">
        <v>83</v>
      </c>
      <c r="Q36" s="1">
        <v>78</v>
      </c>
      <c r="R36" s="1">
        <v>114</v>
      </c>
      <c r="S36" s="1">
        <v>93</v>
      </c>
      <c r="T36" s="1">
        <v>43</v>
      </c>
      <c r="U36" s="1">
        <f t="shared" si="0"/>
        <v>94.315789473684205</v>
      </c>
    </row>
    <row r="37" spans="1:21" x14ac:dyDescent="0.25">
      <c r="A37">
        <v>2006</v>
      </c>
      <c r="B37" s="1">
        <v>70</v>
      </c>
      <c r="C37" s="1">
        <v>59</v>
      </c>
      <c r="D37" s="1">
        <v>36</v>
      </c>
      <c r="E37" s="1">
        <v>30</v>
      </c>
      <c r="F37" s="1">
        <v>76</v>
      </c>
      <c r="G37" s="1">
        <v>65</v>
      </c>
      <c r="H37" s="1">
        <v>56</v>
      </c>
      <c r="I37" s="1">
        <v>45</v>
      </c>
      <c r="J37" s="1">
        <v>57</v>
      </c>
      <c r="K37" s="1">
        <v>44</v>
      </c>
      <c r="L37" s="1">
        <v>51</v>
      </c>
      <c r="M37" s="1">
        <v>41</v>
      </c>
      <c r="N37" s="1">
        <v>67</v>
      </c>
      <c r="O37" s="1">
        <v>39</v>
      </c>
      <c r="P37" s="1">
        <v>48</v>
      </c>
      <c r="Q37" s="1">
        <v>69</v>
      </c>
      <c r="R37" s="1">
        <v>62</v>
      </c>
      <c r="S37" s="1">
        <v>41</v>
      </c>
      <c r="T37" s="1">
        <v>39</v>
      </c>
      <c r="U37" s="1">
        <f t="shared" si="0"/>
        <v>52.368421052631582</v>
      </c>
    </row>
    <row r="38" spans="1:21" x14ac:dyDescent="0.25">
      <c r="A38">
        <v>2007</v>
      </c>
      <c r="B38" s="1">
        <v>134</v>
      </c>
      <c r="C38" s="1">
        <v>110</v>
      </c>
      <c r="D38" s="1">
        <v>92</v>
      </c>
      <c r="E38" s="1">
        <v>62</v>
      </c>
      <c r="F38" s="1">
        <v>74</v>
      </c>
      <c r="G38" s="1">
        <v>130</v>
      </c>
      <c r="H38" s="1">
        <v>79</v>
      </c>
      <c r="I38" s="1">
        <v>63</v>
      </c>
      <c r="J38" s="1">
        <v>77</v>
      </c>
      <c r="K38" s="1">
        <v>73</v>
      </c>
      <c r="L38" s="1">
        <v>67</v>
      </c>
      <c r="M38" s="1">
        <v>49</v>
      </c>
      <c r="N38" s="1">
        <v>46</v>
      </c>
      <c r="O38" s="1">
        <v>65</v>
      </c>
      <c r="P38" s="1">
        <v>84</v>
      </c>
      <c r="Q38" s="1">
        <v>66</v>
      </c>
      <c r="R38" s="1">
        <v>138</v>
      </c>
      <c r="S38" s="1">
        <v>43</v>
      </c>
      <c r="T38" s="1">
        <v>36</v>
      </c>
      <c r="U38" s="1">
        <f t="shared" si="0"/>
        <v>78.315789473684205</v>
      </c>
    </row>
    <row r="39" spans="1:21" x14ac:dyDescent="0.25">
      <c r="A39">
        <v>2008</v>
      </c>
      <c r="B39" s="1">
        <v>101</v>
      </c>
      <c r="C39" s="1">
        <v>138</v>
      </c>
      <c r="D39" s="1">
        <v>52</v>
      </c>
      <c r="E39" s="1">
        <v>79</v>
      </c>
      <c r="F39" s="1">
        <v>58</v>
      </c>
      <c r="G39" s="1">
        <v>81</v>
      </c>
      <c r="H39" s="1">
        <v>70</v>
      </c>
      <c r="I39" s="1">
        <v>54</v>
      </c>
      <c r="J39" s="1">
        <v>86</v>
      </c>
      <c r="K39" s="1">
        <v>53</v>
      </c>
      <c r="L39" s="1">
        <v>75</v>
      </c>
      <c r="M39" s="1">
        <v>59</v>
      </c>
      <c r="N39" s="1">
        <v>36</v>
      </c>
      <c r="O39" s="1">
        <v>68</v>
      </c>
      <c r="P39" s="1">
        <v>66</v>
      </c>
      <c r="Q39" s="1">
        <v>63</v>
      </c>
      <c r="R39" s="1">
        <v>84</v>
      </c>
      <c r="S39" s="1">
        <v>52</v>
      </c>
      <c r="T39" s="1">
        <v>41</v>
      </c>
      <c r="U39" s="1">
        <f t="shared" si="0"/>
        <v>69.263157894736835</v>
      </c>
    </row>
    <row r="40" spans="1:21" x14ac:dyDescent="0.25">
      <c r="A40">
        <v>2009</v>
      </c>
      <c r="B40" s="1">
        <v>42</v>
      </c>
      <c r="C40" s="1">
        <v>70</v>
      </c>
      <c r="D40" s="1">
        <v>46</v>
      </c>
      <c r="E40" s="1">
        <v>34</v>
      </c>
      <c r="F40" s="1">
        <v>42</v>
      </c>
      <c r="G40" s="1">
        <v>78</v>
      </c>
      <c r="H40" s="1">
        <v>40</v>
      </c>
      <c r="I40" s="1">
        <v>49</v>
      </c>
      <c r="J40" s="1">
        <v>70</v>
      </c>
      <c r="K40" s="1">
        <v>29</v>
      </c>
      <c r="L40" s="1">
        <v>42</v>
      </c>
      <c r="M40" s="1">
        <v>50</v>
      </c>
      <c r="N40" s="1">
        <v>21</v>
      </c>
      <c r="O40" s="1">
        <v>34</v>
      </c>
      <c r="P40" s="1">
        <v>50</v>
      </c>
      <c r="Q40" s="1">
        <v>31</v>
      </c>
      <c r="R40" s="1">
        <v>109</v>
      </c>
      <c r="S40" s="1">
        <v>21</v>
      </c>
      <c r="T40" s="1">
        <v>28</v>
      </c>
      <c r="U40" s="1">
        <f t="shared" si="0"/>
        <v>46.631578947368418</v>
      </c>
    </row>
    <row r="41" spans="1:21" x14ac:dyDescent="0.25">
      <c r="A41">
        <v>2010</v>
      </c>
      <c r="B41" s="1">
        <v>41</v>
      </c>
      <c r="C41" s="1">
        <v>58</v>
      </c>
      <c r="D41" s="1">
        <v>81</v>
      </c>
      <c r="E41" s="1">
        <v>65</v>
      </c>
      <c r="F41" s="1">
        <v>81</v>
      </c>
      <c r="G41" s="1">
        <v>116</v>
      </c>
      <c r="H41" s="1">
        <v>73</v>
      </c>
      <c r="I41" s="1">
        <v>30</v>
      </c>
      <c r="J41" s="1">
        <v>68</v>
      </c>
      <c r="K41" s="1">
        <v>52</v>
      </c>
      <c r="L41" s="1">
        <v>87</v>
      </c>
      <c r="M41" s="1">
        <v>78</v>
      </c>
      <c r="N41" s="1">
        <v>75</v>
      </c>
      <c r="O41" s="1">
        <v>70</v>
      </c>
      <c r="P41" s="1">
        <v>74</v>
      </c>
      <c r="Q41" s="1">
        <v>73</v>
      </c>
      <c r="R41" s="1">
        <v>68</v>
      </c>
      <c r="S41" s="1">
        <v>55</v>
      </c>
      <c r="T41" s="1">
        <v>33</v>
      </c>
      <c r="U41" s="1">
        <f t="shared" si="0"/>
        <v>67.263157894736835</v>
      </c>
    </row>
    <row r="42" spans="1:21" x14ac:dyDescent="0.25">
      <c r="A42">
        <v>2011</v>
      </c>
      <c r="B42" s="1">
        <v>46</v>
      </c>
      <c r="C42" s="1">
        <v>81</v>
      </c>
      <c r="D42" s="1">
        <v>50</v>
      </c>
      <c r="E42" s="1">
        <v>25</v>
      </c>
      <c r="F42" s="1">
        <v>62</v>
      </c>
      <c r="G42" s="1">
        <v>65</v>
      </c>
      <c r="H42" s="1">
        <v>59</v>
      </c>
      <c r="I42" s="1">
        <v>59</v>
      </c>
      <c r="J42" s="1">
        <v>63</v>
      </c>
      <c r="K42" s="1">
        <v>44</v>
      </c>
      <c r="L42" s="1">
        <v>80</v>
      </c>
      <c r="M42" s="1">
        <v>61</v>
      </c>
      <c r="N42" s="1">
        <v>48</v>
      </c>
      <c r="O42" s="1">
        <v>62</v>
      </c>
      <c r="P42" s="1">
        <v>62</v>
      </c>
      <c r="Q42" s="1">
        <v>62</v>
      </c>
      <c r="R42" s="1">
        <v>84</v>
      </c>
      <c r="S42" s="1">
        <v>34</v>
      </c>
      <c r="T42" s="1">
        <v>64</v>
      </c>
      <c r="U42" s="1">
        <f t="shared" si="0"/>
        <v>58.473684210526315</v>
      </c>
    </row>
    <row r="43" spans="1:21" x14ac:dyDescent="0.25">
      <c r="A43">
        <v>2012</v>
      </c>
      <c r="B43" s="1">
        <v>47</v>
      </c>
      <c r="C43" s="1">
        <v>57</v>
      </c>
      <c r="D43" s="1">
        <v>40</v>
      </c>
      <c r="E43" s="1">
        <v>42</v>
      </c>
      <c r="F43" s="1">
        <v>40</v>
      </c>
      <c r="G43" s="1">
        <v>75</v>
      </c>
      <c r="H43" s="1">
        <v>67</v>
      </c>
      <c r="I43" s="1">
        <v>40</v>
      </c>
      <c r="J43" s="1">
        <v>60</v>
      </c>
      <c r="K43" s="1">
        <v>50</v>
      </c>
      <c r="L43" s="1">
        <v>42</v>
      </c>
      <c r="M43" s="1">
        <v>58</v>
      </c>
      <c r="N43" s="1">
        <v>25</v>
      </c>
      <c r="O43" s="1">
        <v>66</v>
      </c>
      <c r="P43" s="1">
        <v>43</v>
      </c>
      <c r="Q43" s="1">
        <v>30</v>
      </c>
      <c r="R43" s="1">
        <v>102</v>
      </c>
      <c r="S43" s="1">
        <v>36</v>
      </c>
      <c r="T43" s="1">
        <v>34</v>
      </c>
      <c r="U43" s="1">
        <f t="shared" si="0"/>
        <v>50.210526315789473</v>
      </c>
    </row>
    <row r="44" spans="1:21" x14ac:dyDescent="0.25">
      <c r="A44">
        <v>2013</v>
      </c>
      <c r="B44" s="1">
        <v>67</v>
      </c>
      <c r="C44" s="1">
        <v>113</v>
      </c>
      <c r="D44" s="1">
        <v>70</v>
      </c>
      <c r="E44" s="1">
        <v>61</v>
      </c>
      <c r="F44" s="1">
        <v>108</v>
      </c>
      <c r="G44" s="1">
        <v>282</v>
      </c>
      <c r="H44" s="1">
        <v>109</v>
      </c>
      <c r="I44" s="1">
        <v>70</v>
      </c>
      <c r="J44" s="1">
        <v>119</v>
      </c>
      <c r="K44" s="1">
        <v>61</v>
      </c>
      <c r="L44" s="1">
        <v>88</v>
      </c>
      <c r="M44" s="1">
        <v>104</v>
      </c>
      <c r="N44" s="1">
        <v>137</v>
      </c>
      <c r="O44" s="1">
        <v>124</v>
      </c>
      <c r="P44" s="1">
        <v>103</v>
      </c>
      <c r="Q44" s="1">
        <v>90</v>
      </c>
      <c r="R44" s="1">
        <v>86</v>
      </c>
      <c r="S44" s="1">
        <v>80</v>
      </c>
      <c r="T44" s="1">
        <v>40</v>
      </c>
      <c r="U44" s="1">
        <f t="shared" si="0"/>
        <v>100.63157894736842</v>
      </c>
    </row>
    <row r="45" spans="1:21" x14ac:dyDescent="0.25">
      <c r="A45">
        <v>2014</v>
      </c>
      <c r="B45" s="1">
        <v>95</v>
      </c>
      <c r="C45" s="1">
        <v>172</v>
      </c>
      <c r="D45" s="1">
        <v>65</v>
      </c>
      <c r="E45" s="1">
        <v>58</v>
      </c>
      <c r="F45" s="1">
        <v>106</v>
      </c>
      <c r="G45" s="1">
        <v>133</v>
      </c>
      <c r="H45" s="1">
        <v>112</v>
      </c>
      <c r="I45" s="1">
        <v>62</v>
      </c>
      <c r="J45" s="1">
        <v>106</v>
      </c>
      <c r="K45" s="1">
        <v>78</v>
      </c>
      <c r="L45" s="1">
        <v>104</v>
      </c>
      <c r="M45" s="1">
        <v>111</v>
      </c>
      <c r="N45" s="1">
        <v>139</v>
      </c>
      <c r="O45" s="1">
        <v>83</v>
      </c>
      <c r="P45" s="1">
        <v>99</v>
      </c>
      <c r="Q45" s="1">
        <v>70</v>
      </c>
      <c r="R45" s="1">
        <v>136</v>
      </c>
      <c r="S45" s="1">
        <v>65</v>
      </c>
      <c r="T45" s="1">
        <v>75</v>
      </c>
      <c r="U45" s="1">
        <f t="shared" si="0"/>
        <v>98.368421052631575</v>
      </c>
    </row>
    <row r="46" spans="1:21" x14ac:dyDescent="0.25">
      <c r="A46">
        <v>2015</v>
      </c>
      <c r="B46" s="1">
        <v>66</v>
      </c>
      <c r="C46" s="1">
        <v>109</v>
      </c>
      <c r="D46" s="1">
        <v>48</v>
      </c>
      <c r="E46" s="1">
        <v>60</v>
      </c>
      <c r="F46" s="1">
        <v>49</v>
      </c>
      <c r="G46" s="1">
        <v>60</v>
      </c>
      <c r="H46" s="1">
        <v>75</v>
      </c>
      <c r="I46" s="1">
        <v>51</v>
      </c>
      <c r="J46" s="1">
        <v>126</v>
      </c>
      <c r="K46" s="1">
        <v>87</v>
      </c>
      <c r="L46" s="1">
        <v>71</v>
      </c>
      <c r="M46" s="1">
        <v>84</v>
      </c>
      <c r="N46" s="1">
        <v>62</v>
      </c>
      <c r="O46" s="1">
        <v>70</v>
      </c>
      <c r="P46" s="1">
        <v>49</v>
      </c>
      <c r="Q46" s="1">
        <v>40</v>
      </c>
      <c r="R46" s="1">
        <v>112</v>
      </c>
      <c r="S46" s="1">
        <v>70</v>
      </c>
      <c r="T46" s="1">
        <v>46</v>
      </c>
      <c r="U46" s="1">
        <f t="shared" si="0"/>
        <v>70.263157894736835</v>
      </c>
    </row>
    <row r="47" spans="1:21" x14ac:dyDescent="0.25">
      <c r="A47">
        <v>2016</v>
      </c>
      <c r="B47" s="1">
        <v>59</v>
      </c>
      <c r="C47" s="1">
        <v>140</v>
      </c>
      <c r="D47" s="1">
        <v>108</v>
      </c>
      <c r="E47" s="1">
        <v>133</v>
      </c>
      <c r="F47" s="1">
        <v>132</v>
      </c>
      <c r="G47" s="1">
        <v>173</v>
      </c>
      <c r="H47" s="1">
        <v>119</v>
      </c>
      <c r="I47" s="1">
        <v>78</v>
      </c>
      <c r="J47" s="1">
        <v>181</v>
      </c>
      <c r="K47" s="1">
        <v>119</v>
      </c>
      <c r="L47" s="1">
        <v>193</v>
      </c>
      <c r="M47" s="1">
        <v>132</v>
      </c>
      <c r="N47" s="1">
        <v>200</v>
      </c>
      <c r="O47" s="1">
        <v>149</v>
      </c>
      <c r="P47" s="1">
        <v>184</v>
      </c>
      <c r="Q47" s="1">
        <v>127</v>
      </c>
      <c r="R47" s="1">
        <v>78</v>
      </c>
      <c r="S47" s="1">
        <v>130</v>
      </c>
      <c r="T47" s="1">
        <v>90</v>
      </c>
      <c r="U47" s="1">
        <f t="shared" si="0"/>
        <v>132.89473684210526</v>
      </c>
    </row>
    <row r="48" spans="1:21" x14ac:dyDescent="0.25">
      <c r="A48">
        <v>2017</v>
      </c>
      <c r="B48" s="1">
        <v>39</v>
      </c>
      <c r="C48" s="1">
        <v>59</v>
      </c>
      <c r="D48" s="1">
        <v>75</v>
      </c>
      <c r="E48" s="1">
        <v>83</v>
      </c>
      <c r="F48" s="1">
        <v>95</v>
      </c>
      <c r="G48" s="1">
        <v>110</v>
      </c>
      <c r="H48" s="1">
        <v>119</v>
      </c>
      <c r="I48" s="1">
        <v>60</v>
      </c>
      <c r="J48" s="1">
        <v>144</v>
      </c>
      <c r="K48" s="1">
        <v>92</v>
      </c>
      <c r="L48" s="1">
        <v>116</v>
      </c>
      <c r="M48" s="1">
        <v>104</v>
      </c>
      <c r="N48" s="1">
        <v>83</v>
      </c>
      <c r="O48" s="1">
        <v>99</v>
      </c>
      <c r="P48" s="1">
        <v>64</v>
      </c>
      <c r="Q48" s="1">
        <v>68</v>
      </c>
      <c r="R48" s="1">
        <v>77</v>
      </c>
      <c r="S48" s="1">
        <v>89</v>
      </c>
      <c r="T48" s="1">
        <v>23</v>
      </c>
      <c r="U48" s="1">
        <f t="shared" si="0"/>
        <v>84.15789473684211</v>
      </c>
    </row>
    <row r="49" spans="1:21" x14ac:dyDescent="0.25">
      <c r="A49">
        <v>2018</v>
      </c>
      <c r="B49" s="1">
        <v>46</v>
      </c>
      <c r="C49" s="1">
        <v>37</v>
      </c>
      <c r="D49" s="1">
        <v>97</v>
      </c>
      <c r="E49" s="1">
        <v>67</v>
      </c>
      <c r="F49" s="1">
        <v>58</v>
      </c>
      <c r="G49" s="1">
        <v>79</v>
      </c>
      <c r="H49" s="1">
        <v>67</v>
      </c>
      <c r="I49" s="1">
        <v>75</v>
      </c>
      <c r="J49" s="1">
        <v>90</v>
      </c>
      <c r="K49" s="1">
        <v>64</v>
      </c>
      <c r="L49" s="1">
        <v>37</v>
      </c>
      <c r="M49" s="1">
        <v>54</v>
      </c>
      <c r="N49" s="1">
        <v>62</v>
      </c>
      <c r="O49" s="1">
        <v>32</v>
      </c>
      <c r="P49" s="1">
        <v>31</v>
      </c>
      <c r="Q49" s="1">
        <v>41</v>
      </c>
      <c r="R49" s="1">
        <v>57</v>
      </c>
      <c r="S49" s="1">
        <v>65</v>
      </c>
      <c r="T49" s="1">
        <v>31</v>
      </c>
      <c r="U49" s="1">
        <f t="shared" si="0"/>
        <v>57.368421052631582</v>
      </c>
    </row>
    <row r="50" spans="1:21" x14ac:dyDescent="0.25">
      <c r="A50">
        <v>2019</v>
      </c>
      <c r="B50" s="1">
        <v>41</v>
      </c>
      <c r="C50" s="1">
        <v>99</v>
      </c>
      <c r="D50" s="1">
        <v>62</v>
      </c>
      <c r="E50" s="1">
        <v>39</v>
      </c>
      <c r="F50" s="1">
        <v>68</v>
      </c>
      <c r="G50" s="1">
        <v>57</v>
      </c>
      <c r="H50" s="1">
        <v>68</v>
      </c>
      <c r="I50" s="1">
        <v>64</v>
      </c>
      <c r="J50" s="1">
        <v>86</v>
      </c>
      <c r="K50" s="1">
        <v>59</v>
      </c>
      <c r="L50" s="1">
        <v>42</v>
      </c>
      <c r="M50" s="1">
        <v>57</v>
      </c>
      <c r="N50" s="1">
        <v>133</v>
      </c>
      <c r="O50" s="1">
        <v>74</v>
      </c>
      <c r="P50" s="1">
        <v>47</v>
      </c>
      <c r="Q50" s="1">
        <v>57</v>
      </c>
      <c r="R50" s="1">
        <v>104</v>
      </c>
      <c r="S50" s="1">
        <v>74</v>
      </c>
      <c r="T50" s="1">
        <v>35</v>
      </c>
      <c r="U50" s="1">
        <f t="shared" si="0"/>
        <v>66.631578947368425</v>
      </c>
    </row>
    <row r="51" spans="1:21" x14ac:dyDescent="0.25">
      <c r="A51">
        <v>2020</v>
      </c>
      <c r="B51" s="1">
        <v>76</v>
      </c>
      <c r="C51" s="1">
        <v>84</v>
      </c>
      <c r="D51" s="1">
        <v>73</v>
      </c>
      <c r="E51" s="1">
        <v>43</v>
      </c>
      <c r="F51" s="1">
        <v>86</v>
      </c>
      <c r="G51" s="1">
        <v>124</v>
      </c>
      <c r="H51" s="1">
        <v>87</v>
      </c>
      <c r="I51" s="1">
        <v>81</v>
      </c>
      <c r="J51" s="1">
        <v>129</v>
      </c>
      <c r="K51" s="1">
        <v>65</v>
      </c>
      <c r="L51" s="1">
        <v>80</v>
      </c>
      <c r="M51" s="1">
        <v>120</v>
      </c>
      <c r="N51" s="1">
        <v>156</v>
      </c>
      <c r="O51" s="1">
        <v>76</v>
      </c>
      <c r="P51" s="1">
        <v>130</v>
      </c>
      <c r="Q51" s="1">
        <v>75</v>
      </c>
      <c r="R51" s="1">
        <v>81</v>
      </c>
      <c r="S51" s="1">
        <v>138</v>
      </c>
      <c r="T51" s="1">
        <v>84</v>
      </c>
      <c r="U51" s="1">
        <f t="shared" si="0"/>
        <v>94.10526315789474</v>
      </c>
    </row>
    <row r="52" spans="1:21" x14ac:dyDescent="0.25">
      <c r="A52">
        <v>2021</v>
      </c>
      <c r="B52" s="1">
        <v>53</v>
      </c>
      <c r="C52" s="1">
        <v>74</v>
      </c>
      <c r="D52" s="1">
        <v>60</v>
      </c>
      <c r="E52" s="1">
        <v>7</v>
      </c>
      <c r="F52" s="1">
        <v>118</v>
      </c>
      <c r="G52" s="1">
        <v>115</v>
      </c>
      <c r="H52" s="1">
        <v>99</v>
      </c>
      <c r="I52" s="1">
        <v>69</v>
      </c>
      <c r="J52" s="1">
        <v>92</v>
      </c>
      <c r="K52" s="1">
        <v>58</v>
      </c>
      <c r="L52" s="1">
        <v>89</v>
      </c>
      <c r="M52" s="1">
        <v>100</v>
      </c>
      <c r="N52" s="1">
        <v>221</v>
      </c>
      <c r="O52" s="1">
        <v>94</v>
      </c>
      <c r="P52" s="1">
        <v>94</v>
      </c>
      <c r="Q52" s="1">
        <v>109</v>
      </c>
      <c r="R52" s="1">
        <v>61</v>
      </c>
      <c r="S52" s="1">
        <v>129</v>
      </c>
      <c r="T52" s="1">
        <v>19</v>
      </c>
      <c r="U52" s="1">
        <f t="shared" si="0"/>
        <v>87.421052631578945</v>
      </c>
    </row>
    <row r="53" spans="1:21" x14ac:dyDescent="0.25">
      <c r="A53">
        <v>2022</v>
      </c>
      <c r="B53" s="1">
        <v>83</v>
      </c>
      <c r="C53" s="1">
        <v>142</v>
      </c>
      <c r="D53" s="1">
        <v>55</v>
      </c>
      <c r="E53" s="1">
        <v>0</v>
      </c>
      <c r="F53" s="1">
        <v>88</v>
      </c>
      <c r="G53" s="1">
        <v>165</v>
      </c>
      <c r="H53" s="1">
        <v>140</v>
      </c>
      <c r="I53" s="1">
        <v>115</v>
      </c>
      <c r="J53" s="1">
        <v>86</v>
      </c>
      <c r="K53" s="1">
        <v>78</v>
      </c>
      <c r="L53" s="1">
        <v>67</v>
      </c>
      <c r="M53" s="1">
        <v>109</v>
      </c>
      <c r="N53" s="1">
        <v>81</v>
      </c>
      <c r="O53" s="1">
        <v>83</v>
      </c>
      <c r="P53" s="1">
        <v>94</v>
      </c>
      <c r="Q53" s="1">
        <v>79</v>
      </c>
      <c r="R53" s="1">
        <v>155</v>
      </c>
      <c r="S53" s="1">
        <v>90</v>
      </c>
      <c r="T53" s="1">
        <v>45</v>
      </c>
      <c r="U53" s="1">
        <f t="shared" si="0"/>
        <v>92.368421052631575</v>
      </c>
    </row>
    <row r="54" spans="1:21" x14ac:dyDescent="0.25">
      <c r="A54">
        <v>2023</v>
      </c>
      <c r="B54" s="1">
        <v>42</v>
      </c>
      <c r="C54" s="1">
        <v>73</v>
      </c>
      <c r="D54" s="1">
        <v>53</v>
      </c>
      <c r="E54" s="1">
        <v>0</v>
      </c>
      <c r="F54" s="1">
        <v>145</v>
      </c>
      <c r="G54" s="1">
        <v>111</v>
      </c>
      <c r="H54" s="1">
        <v>104</v>
      </c>
      <c r="I54" s="1">
        <v>112</v>
      </c>
      <c r="J54" s="1">
        <v>105</v>
      </c>
      <c r="K54" s="1">
        <v>86</v>
      </c>
      <c r="L54" s="1">
        <v>102</v>
      </c>
      <c r="M54" s="1">
        <v>116</v>
      </c>
      <c r="N54" s="1">
        <v>102</v>
      </c>
      <c r="O54" s="1">
        <v>44</v>
      </c>
      <c r="P54" s="1">
        <v>99</v>
      </c>
      <c r="Q54" s="1">
        <v>78</v>
      </c>
      <c r="R54" s="1">
        <v>95</v>
      </c>
      <c r="S54" s="1">
        <v>119</v>
      </c>
      <c r="T54" s="1">
        <v>58</v>
      </c>
      <c r="U54" s="1">
        <f t="shared" si="0"/>
        <v>86.526315789473685</v>
      </c>
    </row>
    <row r="55" spans="1:21" x14ac:dyDescent="0.25">
      <c r="A55">
        <v>2024</v>
      </c>
      <c r="B55" s="1">
        <v>39</v>
      </c>
      <c r="C55" s="1">
        <v>88</v>
      </c>
      <c r="D55" s="1">
        <v>99</v>
      </c>
      <c r="E55" s="1">
        <v>0</v>
      </c>
      <c r="F55" s="1">
        <v>88</v>
      </c>
      <c r="G55" s="1">
        <v>83</v>
      </c>
      <c r="H55" s="1">
        <v>64</v>
      </c>
      <c r="I55" s="1">
        <v>102</v>
      </c>
      <c r="J55" s="1">
        <v>105</v>
      </c>
      <c r="K55" s="1">
        <v>11</v>
      </c>
      <c r="L55" s="1">
        <v>109</v>
      </c>
      <c r="M55" s="1">
        <v>74</v>
      </c>
      <c r="N55" s="1">
        <v>140</v>
      </c>
      <c r="O55" s="1">
        <v>91</v>
      </c>
      <c r="P55" s="1">
        <v>118</v>
      </c>
      <c r="Q55" s="1">
        <v>94</v>
      </c>
      <c r="R55" s="1">
        <v>69</v>
      </c>
      <c r="S55" s="1">
        <v>122</v>
      </c>
      <c r="T55" s="1">
        <v>53</v>
      </c>
      <c r="U55" s="1">
        <f t="shared" si="0"/>
        <v>81.526315789473685</v>
      </c>
    </row>
    <row r="56" spans="1:21" x14ac:dyDescent="0.25">
      <c r="A56">
        <v>2025</v>
      </c>
      <c r="B56" s="1">
        <v>65</v>
      </c>
      <c r="C56" s="1">
        <v>106</v>
      </c>
      <c r="D56" s="1">
        <v>55</v>
      </c>
      <c r="E56" s="1"/>
      <c r="F56" s="1">
        <v>58</v>
      </c>
      <c r="G56" s="1">
        <v>76</v>
      </c>
      <c r="H56" s="1">
        <v>73</v>
      </c>
      <c r="I56" s="1">
        <v>76</v>
      </c>
      <c r="J56" s="1">
        <v>121</v>
      </c>
      <c r="K56" s="1">
        <v>80</v>
      </c>
      <c r="L56" s="1">
        <v>96</v>
      </c>
      <c r="M56" s="1">
        <v>112</v>
      </c>
      <c r="N56" s="1">
        <v>96</v>
      </c>
      <c r="O56" s="1">
        <v>82</v>
      </c>
      <c r="P56" s="1">
        <v>62</v>
      </c>
      <c r="Q56" s="1">
        <v>126</v>
      </c>
      <c r="R56" s="1">
        <v>92</v>
      </c>
      <c r="S56" s="1">
        <v>73</v>
      </c>
      <c r="T56" s="1">
        <v>69</v>
      </c>
      <c r="U56" s="1">
        <f t="shared" si="0"/>
        <v>84.333333333333329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6"/>
  <sheetViews>
    <sheetView workbookViewId="0">
      <selection activeCell="K1" sqref="K1"/>
    </sheetView>
  </sheetViews>
  <sheetFormatPr defaultRowHeight="15" x14ac:dyDescent="0.25"/>
  <sheetData>
    <row r="1" spans="1:11" ht="75" x14ac:dyDescent="0.25">
      <c r="B1" t="s">
        <v>154</v>
      </c>
      <c r="C1" t="s">
        <v>155</v>
      </c>
      <c r="D1" t="s">
        <v>156</v>
      </c>
      <c r="E1" t="s">
        <v>157</v>
      </c>
      <c r="F1" t="s">
        <v>158</v>
      </c>
      <c r="G1" t="s">
        <v>159</v>
      </c>
      <c r="H1" t="s">
        <v>160</v>
      </c>
      <c r="I1" t="s">
        <v>161</v>
      </c>
      <c r="J1" t="s">
        <v>162</v>
      </c>
      <c r="K1" s="3" t="s">
        <v>213</v>
      </c>
    </row>
    <row r="2" spans="1:11" x14ac:dyDescent="0.25">
      <c r="A2">
        <v>1971</v>
      </c>
      <c r="B2" s="1">
        <v>0</v>
      </c>
      <c r="C2" s="1">
        <v>20</v>
      </c>
      <c r="D2" s="1"/>
      <c r="E2" s="1"/>
      <c r="F2" s="1"/>
      <c r="G2" s="1">
        <v>20</v>
      </c>
      <c r="H2" s="1"/>
      <c r="I2" s="1">
        <v>20</v>
      </c>
      <c r="J2" s="1"/>
      <c r="K2" s="1">
        <f>AVERAGE(B2:J2)</f>
        <v>15</v>
      </c>
    </row>
    <row r="3" spans="1:11" x14ac:dyDescent="0.25">
      <c r="A3">
        <v>1972</v>
      </c>
      <c r="B3" s="1">
        <v>14</v>
      </c>
      <c r="C3" s="1">
        <v>29</v>
      </c>
      <c r="D3" s="1"/>
      <c r="E3" s="1"/>
      <c r="F3" s="1"/>
      <c r="G3" s="1">
        <v>17</v>
      </c>
      <c r="H3" s="1"/>
      <c r="I3" s="1">
        <v>18</v>
      </c>
      <c r="J3" s="1"/>
      <c r="K3" s="1">
        <f t="shared" ref="K3:K56" si="0">AVERAGE(B3:J3)</f>
        <v>19.5</v>
      </c>
    </row>
    <row r="4" spans="1:11" x14ac:dyDescent="0.25">
      <c r="A4">
        <v>1973</v>
      </c>
      <c r="B4" s="1">
        <v>15</v>
      </c>
      <c r="C4" s="1">
        <v>50</v>
      </c>
      <c r="D4" s="1"/>
      <c r="E4" s="1"/>
      <c r="F4" s="1"/>
      <c r="G4" s="1">
        <v>20</v>
      </c>
      <c r="H4" s="1"/>
      <c r="I4" s="1">
        <v>15</v>
      </c>
      <c r="J4" s="1"/>
      <c r="K4" s="1">
        <f t="shared" si="0"/>
        <v>25</v>
      </c>
    </row>
    <row r="5" spans="1:11" x14ac:dyDescent="0.25">
      <c r="A5">
        <v>1974</v>
      </c>
      <c r="B5" s="1">
        <v>9</v>
      </c>
      <c r="C5" s="1">
        <v>37</v>
      </c>
      <c r="D5" s="1"/>
      <c r="E5" s="1"/>
      <c r="F5" s="1"/>
      <c r="G5" s="1">
        <v>27</v>
      </c>
      <c r="H5" s="1"/>
      <c r="I5" s="1">
        <v>18</v>
      </c>
      <c r="J5" s="1"/>
      <c r="K5" s="1">
        <f t="shared" si="0"/>
        <v>22.75</v>
      </c>
    </row>
    <row r="6" spans="1:11" x14ac:dyDescent="0.25">
      <c r="A6">
        <v>1975</v>
      </c>
      <c r="B6" s="1">
        <v>14</v>
      </c>
      <c r="C6" s="1">
        <v>0</v>
      </c>
      <c r="D6" s="1"/>
      <c r="E6" s="1"/>
      <c r="F6" s="1"/>
      <c r="G6" s="1">
        <v>0</v>
      </c>
      <c r="H6" s="1"/>
      <c r="I6" s="1">
        <v>0</v>
      </c>
      <c r="J6" s="1"/>
      <c r="K6" s="1">
        <f t="shared" si="0"/>
        <v>3.5</v>
      </c>
    </row>
    <row r="7" spans="1:11" x14ac:dyDescent="0.25">
      <c r="A7">
        <v>1976</v>
      </c>
      <c r="B7" s="1">
        <v>0</v>
      </c>
      <c r="C7" s="1">
        <v>0</v>
      </c>
      <c r="D7" s="1"/>
      <c r="E7" s="1"/>
      <c r="F7" s="1"/>
      <c r="G7" s="1">
        <v>20</v>
      </c>
      <c r="H7" s="1"/>
      <c r="I7" s="1">
        <v>24</v>
      </c>
      <c r="J7" s="1"/>
      <c r="K7" s="1">
        <f t="shared" si="0"/>
        <v>11</v>
      </c>
    </row>
    <row r="8" spans="1:11" x14ac:dyDescent="0.25">
      <c r="A8">
        <v>1977</v>
      </c>
      <c r="B8" s="1">
        <v>48</v>
      </c>
      <c r="C8" s="1">
        <v>0</v>
      </c>
      <c r="D8" s="1"/>
      <c r="E8" s="1"/>
      <c r="F8" s="1"/>
      <c r="G8" s="1">
        <v>13</v>
      </c>
      <c r="H8" s="1"/>
      <c r="I8" s="1">
        <v>44</v>
      </c>
      <c r="J8" s="1"/>
      <c r="K8" s="1">
        <f t="shared" si="0"/>
        <v>26.25</v>
      </c>
    </row>
    <row r="9" spans="1:11" x14ac:dyDescent="0.25">
      <c r="A9">
        <v>1978</v>
      </c>
      <c r="B9" s="1">
        <v>27</v>
      </c>
      <c r="C9" s="1">
        <v>40</v>
      </c>
      <c r="D9" s="1">
        <v>16</v>
      </c>
      <c r="E9" s="1"/>
      <c r="F9" s="1"/>
      <c r="G9" s="1">
        <v>11</v>
      </c>
      <c r="H9" s="1"/>
      <c r="I9" s="1">
        <v>0</v>
      </c>
      <c r="J9" s="1"/>
      <c r="K9" s="1">
        <f t="shared" si="0"/>
        <v>18.8</v>
      </c>
    </row>
    <row r="10" spans="1:11" x14ac:dyDescent="0.25">
      <c r="A10">
        <v>1979</v>
      </c>
      <c r="B10" s="1">
        <v>15</v>
      </c>
      <c r="C10" s="1">
        <v>15</v>
      </c>
      <c r="D10" s="1">
        <v>9</v>
      </c>
      <c r="E10" s="1"/>
      <c r="F10" s="1"/>
      <c r="G10" s="1">
        <v>0</v>
      </c>
      <c r="H10" s="1"/>
      <c r="I10" s="1">
        <v>0</v>
      </c>
      <c r="J10" s="1"/>
      <c r="K10" s="1">
        <f t="shared" si="0"/>
        <v>7.8</v>
      </c>
    </row>
    <row r="11" spans="1:11" x14ac:dyDescent="0.25">
      <c r="A11">
        <v>1980</v>
      </c>
      <c r="B11" s="1">
        <v>0</v>
      </c>
      <c r="C11" s="1">
        <v>33</v>
      </c>
      <c r="D11" s="1">
        <v>84</v>
      </c>
      <c r="E11" s="1"/>
      <c r="F11" s="1">
        <v>42</v>
      </c>
      <c r="G11" s="1">
        <v>17</v>
      </c>
      <c r="H11" s="1"/>
      <c r="I11" s="1">
        <v>0</v>
      </c>
      <c r="J11" s="1"/>
      <c r="K11" s="1">
        <f t="shared" si="0"/>
        <v>29.333333333333332</v>
      </c>
    </row>
    <row r="12" spans="1:11" x14ac:dyDescent="0.25">
      <c r="A12">
        <v>1981</v>
      </c>
      <c r="B12" s="1">
        <v>0</v>
      </c>
      <c r="C12" s="1">
        <v>24</v>
      </c>
      <c r="D12" s="1">
        <v>0</v>
      </c>
      <c r="E12" s="1"/>
      <c r="F12" s="1">
        <v>12</v>
      </c>
      <c r="G12" s="1">
        <v>0</v>
      </c>
      <c r="H12" s="1"/>
      <c r="I12" s="1">
        <v>0</v>
      </c>
      <c r="J12" s="1"/>
      <c r="K12" s="1">
        <f t="shared" si="0"/>
        <v>6</v>
      </c>
    </row>
    <row r="13" spans="1:11" x14ac:dyDescent="0.25">
      <c r="A13">
        <v>1982</v>
      </c>
      <c r="B13" s="1">
        <v>21</v>
      </c>
      <c r="C13" s="1">
        <v>59</v>
      </c>
      <c r="D13" s="1">
        <v>12</v>
      </c>
      <c r="E13" s="1"/>
      <c r="F13" s="1">
        <v>16</v>
      </c>
      <c r="G13" s="1">
        <v>23</v>
      </c>
      <c r="H13" s="1"/>
      <c r="I13" s="1">
        <v>0</v>
      </c>
      <c r="J13" s="1"/>
      <c r="K13" s="1">
        <f t="shared" si="0"/>
        <v>21.833333333333332</v>
      </c>
    </row>
    <row r="14" spans="1:11" x14ac:dyDescent="0.25">
      <c r="A14">
        <v>1983</v>
      </c>
      <c r="B14" s="1">
        <v>0</v>
      </c>
      <c r="C14" s="1">
        <v>34</v>
      </c>
      <c r="D14" s="1">
        <v>34</v>
      </c>
      <c r="E14" s="1"/>
      <c r="F14" s="1">
        <v>0</v>
      </c>
      <c r="G14" s="1">
        <v>37</v>
      </c>
      <c r="H14" s="1"/>
      <c r="I14" s="1">
        <v>0</v>
      </c>
      <c r="J14" s="1">
        <v>4</v>
      </c>
      <c r="K14" s="1">
        <f t="shared" si="0"/>
        <v>15.571428571428571</v>
      </c>
    </row>
    <row r="15" spans="1:11" x14ac:dyDescent="0.25">
      <c r="A15">
        <v>1984</v>
      </c>
      <c r="B15" s="1">
        <v>7</v>
      </c>
      <c r="C15" s="1">
        <v>26</v>
      </c>
      <c r="D15" s="1">
        <v>20</v>
      </c>
      <c r="E15" s="1"/>
      <c r="F15" s="1">
        <v>24</v>
      </c>
      <c r="G15" s="1">
        <v>39</v>
      </c>
      <c r="H15" s="1"/>
      <c r="I15" s="1">
        <v>0</v>
      </c>
      <c r="J15" s="1">
        <v>51</v>
      </c>
      <c r="K15" s="1">
        <f t="shared" si="0"/>
        <v>23.857142857142858</v>
      </c>
    </row>
    <row r="16" spans="1:11" x14ac:dyDescent="0.25">
      <c r="A16">
        <v>1985</v>
      </c>
      <c r="B16" s="1">
        <v>29</v>
      </c>
      <c r="C16" s="1">
        <v>31</v>
      </c>
      <c r="D16" s="1">
        <v>17</v>
      </c>
      <c r="E16" s="1"/>
      <c r="F16" s="1">
        <v>10</v>
      </c>
      <c r="G16" s="1">
        <v>18</v>
      </c>
      <c r="H16" s="1"/>
      <c r="I16" s="1">
        <v>0</v>
      </c>
      <c r="J16" s="1">
        <v>20</v>
      </c>
      <c r="K16" s="1">
        <f t="shared" si="0"/>
        <v>17.857142857142858</v>
      </c>
    </row>
    <row r="17" spans="1:11" x14ac:dyDescent="0.25">
      <c r="A17">
        <v>1986</v>
      </c>
      <c r="B17" s="1">
        <v>23</v>
      </c>
      <c r="C17" s="1">
        <v>24</v>
      </c>
      <c r="D17" s="1">
        <v>14</v>
      </c>
      <c r="E17" s="1"/>
      <c r="F17" s="1">
        <v>20</v>
      </c>
      <c r="G17" s="1">
        <v>0</v>
      </c>
      <c r="H17" s="1"/>
      <c r="I17" s="1">
        <v>0</v>
      </c>
      <c r="J17" s="1">
        <v>0</v>
      </c>
      <c r="K17" s="1">
        <f t="shared" si="0"/>
        <v>11.571428571428571</v>
      </c>
    </row>
    <row r="18" spans="1:11" x14ac:dyDescent="0.25">
      <c r="A18">
        <v>1987</v>
      </c>
      <c r="B18" s="1">
        <v>0</v>
      </c>
      <c r="C18" s="1">
        <v>48</v>
      </c>
      <c r="D18" s="1">
        <v>17</v>
      </c>
      <c r="E18" s="1"/>
      <c r="F18" s="1">
        <v>46</v>
      </c>
      <c r="G18" s="1">
        <v>39</v>
      </c>
      <c r="H18" s="1"/>
      <c r="I18" s="1">
        <v>0</v>
      </c>
      <c r="J18" s="1">
        <v>35</v>
      </c>
      <c r="K18" s="1">
        <f t="shared" si="0"/>
        <v>26.428571428571427</v>
      </c>
    </row>
    <row r="19" spans="1:11" x14ac:dyDescent="0.25">
      <c r="A19">
        <v>1988</v>
      </c>
      <c r="B19" s="1">
        <v>13</v>
      </c>
      <c r="C19" s="1">
        <v>39</v>
      </c>
      <c r="D19" s="1">
        <v>36</v>
      </c>
      <c r="E19" s="1"/>
      <c r="F19" s="1">
        <v>21</v>
      </c>
      <c r="G19" s="1">
        <v>37</v>
      </c>
      <c r="H19" s="1"/>
      <c r="I19" s="1">
        <v>19</v>
      </c>
      <c r="J19" s="1">
        <v>58</v>
      </c>
      <c r="K19" s="1">
        <f t="shared" si="0"/>
        <v>31.857142857142858</v>
      </c>
    </row>
    <row r="20" spans="1:11" x14ac:dyDescent="0.25">
      <c r="A20">
        <v>1989</v>
      </c>
      <c r="B20" s="1">
        <v>0</v>
      </c>
      <c r="C20" s="1">
        <v>59</v>
      </c>
      <c r="D20" s="1">
        <v>37</v>
      </c>
      <c r="E20" s="1"/>
      <c r="F20" s="1">
        <v>24</v>
      </c>
      <c r="G20" s="1">
        <v>31</v>
      </c>
      <c r="H20" s="1"/>
      <c r="I20" s="1">
        <v>0</v>
      </c>
      <c r="J20" s="1">
        <v>0</v>
      </c>
      <c r="K20" s="1">
        <f t="shared" si="0"/>
        <v>21.571428571428573</v>
      </c>
    </row>
    <row r="21" spans="1:11" x14ac:dyDescent="0.25">
      <c r="A21">
        <v>1990</v>
      </c>
      <c r="B21" s="1">
        <v>18</v>
      </c>
      <c r="C21" s="1">
        <v>25</v>
      </c>
      <c r="D21" s="1">
        <v>19</v>
      </c>
      <c r="E21" s="1"/>
      <c r="F21" s="1">
        <v>28</v>
      </c>
      <c r="G21" s="1">
        <v>18</v>
      </c>
      <c r="H21" s="1"/>
      <c r="I21" s="1">
        <v>21</v>
      </c>
      <c r="J21" s="1">
        <v>24</v>
      </c>
      <c r="K21" s="1">
        <f t="shared" si="0"/>
        <v>21.857142857142858</v>
      </c>
    </row>
    <row r="22" spans="1:11" x14ac:dyDescent="0.25">
      <c r="A22">
        <v>1991</v>
      </c>
      <c r="B22" s="1">
        <v>34</v>
      </c>
      <c r="C22" s="1">
        <v>12</v>
      </c>
      <c r="D22" s="1">
        <v>46</v>
      </c>
      <c r="E22" s="1"/>
      <c r="F22" s="1">
        <v>60</v>
      </c>
      <c r="G22" s="1">
        <v>33</v>
      </c>
      <c r="H22" s="1"/>
      <c r="I22" s="1">
        <v>32</v>
      </c>
      <c r="J22" s="1">
        <v>53</v>
      </c>
      <c r="K22" s="1">
        <f t="shared" si="0"/>
        <v>38.571428571428569</v>
      </c>
    </row>
    <row r="23" spans="1:11" x14ac:dyDescent="0.25">
      <c r="A23">
        <v>1992</v>
      </c>
      <c r="B23" s="1">
        <v>0</v>
      </c>
      <c r="C23" s="1">
        <v>34</v>
      </c>
      <c r="D23" s="1">
        <v>21</v>
      </c>
      <c r="E23" s="1"/>
      <c r="F23" s="1">
        <v>8</v>
      </c>
      <c r="G23" s="1">
        <v>0</v>
      </c>
      <c r="H23" s="1"/>
      <c r="I23" s="1">
        <v>18</v>
      </c>
      <c r="J23" s="1">
        <v>23</v>
      </c>
      <c r="K23" s="1">
        <f t="shared" si="0"/>
        <v>14.857142857142858</v>
      </c>
    </row>
    <row r="24" spans="1:11" x14ac:dyDescent="0.25">
      <c r="A24">
        <v>1993</v>
      </c>
      <c r="B24" s="1">
        <v>16</v>
      </c>
      <c r="C24" s="1">
        <v>17</v>
      </c>
      <c r="D24" s="1">
        <v>31</v>
      </c>
      <c r="E24" s="1"/>
      <c r="F24" s="1">
        <v>45</v>
      </c>
      <c r="G24" s="1">
        <v>35</v>
      </c>
      <c r="H24" s="1"/>
      <c r="I24" s="1">
        <v>0</v>
      </c>
      <c r="J24" s="1">
        <v>50</v>
      </c>
      <c r="K24" s="1">
        <f t="shared" si="0"/>
        <v>27.714285714285715</v>
      </c>
    </row>
    <row r="25" spans="1:11" x14ac:dyDescent="0.25">
      <c r="A25">
        <v>1994</v>
      </c>
      <c r="B25" s="1">
        <v>44</v>
      </c>
      <c r="C25" s="1">
        <v>46</v>
      </c>
      <c r="D25" s="1">
        <v>92</v>
      </c>
      <c r="E25" s="1"/>
      <c r="F25" s="1">
        <v>51</v>
      </c>
      <c r="G25" s="1">
        <v>68</v>
      </c>
      <c r="H25" s="1"/>
      <c r="I25" s="1">
        <v>33</v>
      </c>
      <c r="J25" s="1">
        <v>86</v>
      </c>
      <c r="K25" s="1">
        <f t="shared" si="0"/>
        <v>60</v>
      </c>
    </row>
    <row r="26" spans="1:11" x14ac:dyDescent="0.25">
      <c r="A26">
        <v>1995</v>
      </c>
      <c r="B26" s="1">
        <v>20</v>
      </c>
      <c r="C26" s="1">
        <v>23</v>
      </c>
      <c r="D26" s="1">
        <v>0</v>
      </c>
      <c r="E26" s="1"/>
      <c r="F26" s="1">
        <v>15</v>
      </c>
      <c r="G26" s="1">
        <v>53</v>
      </c>
      <c r="H26" s="1"/>
      <c r="I26" s="1">
        <v>0</v>
      </c>
      <c r="J26" s="1">
        <v>86</v>
      </c>
      <c r="K26" s="1">
        <f t="shared" si="0"/>
        <v>28.142857142857142</v>
      </c>
    </row>
    <row r="27" spans="1:11" x14ac:dyDescent="0.25">
      <c r="A27">
        <v>1996</v>
      </c>
      <c r="B27" s="1">
        <v>0</v>
      </c>
      <c r="C27" s="1">
        <v>25</v>
      </c>
      <c r="D27" s="1">
        <v>0</v>
      </c>
      <c r="E27" s="1"/>
      <c r="F27" s="1">
        <v>15</v>
      </c>
      <c r="G27" s="1">
        <v>0</v>
      </c>
      <c r="H27" s="1"/>
      <c r="I27" s="1">
        <v>0</v>
      </c>
      <c r="J27" s="1">
        <v>0</v>
      </c>
      <c r="K27" s="1">
        <f t="shared" si="0"/>
        <v>5.7142857142857144</v>
      </c>
    </row>
    <row r="28" spans="1:11" x14ac:dyDescent="0.25">
      <c r="A28">
        <v>1997</v>
      </c>
      <c r="B28" s="1">
        <v>12</v>
      </c>
      <c r="C28" s="1">
        <v>16</v>
      </c>
      <c r="D28" s="1">
        <v>12</v>
      </c>
      <c r="E28" s="1"/>
      <c r="F28" s="1">
        <v>11</v>
      </c>
      <c r="G28" s="1">
        <v>23</v>
      </c>
      <c r="H28" s="1"/>
      <c r="I28" s="1">
        <v>0</v>
      </c>
      <c r="J28" s="1">
        <v>0</v>
      </c>
      <c r="K28" s="1">
        <f t="shared" si="0"/>
        <v>10.571428571428571</v>
      </c>
    </row>
    <row r="29" spans="1:11" x14ac:dyDescent="0.25">
      <c r="A29">
        <v>1998</v>
      </c>
      <c r="B29" s="1">
        <v>44</v>
      </c>
      <c r="C29" s="1">
        <v>31</v>
      </c>
      <c r="D29" s="1">
        <v>44</v>
      </c>
      <c r="E29" s="1"/>
      <c r="F29" s="1">
        <v>35</v>
      </c>
      <c r="G29" s="1">
        <v>76</v>
      </c>
      <c r="H29" s="1"/>
      <c r="I29" s="1">
        <v>0</v>
      </c>
      <c r="J29" s="1">
        <v>0</v>
      </c>
      <c r="K29" s="1">
        <f t="shared" si="0"/>
        <v>32.857142857142854</v>
      </c>
    </row>
    <row r="30" spans="1:11" x14ac:dyDescent="0.25">
      <c r="A30">
        <v>1999</v>
      </c>
      <c r="B30" s="1">
        <v>0</v>
      </c>
      <c r="C30" s="1">
        <v>0</v>
      </c>
      <c r="D30" s="1">
        <v>15</v>
      </c>
      <c r="E30" s="1"/>
      <c r="F30" s="1">
        <v>10</v>
      </c>
      <c r="G30" s="1">
        <v>0</v>
      </c>
      <c r="H30" s="1"/>
      <c r="I30" s="1">
        <v>0</v>
      </c>
      <c r="J30" s="1">
        <v>0</v>
      </c>
      <c r="K30" s="1">
        <f t="shared" si="0"/>
        <v>3.5714285714285716</v>
      </c>
    </row>
    <row r="31" spans="1:11" x14ac:dyDescent="0.25">
      <c r="A31">
        <v>2000</v>
      </c>
      <c r="B31" s="1">
        <v>19</v>
      </c>
      <c r="C31" s="1">
        <v>20</v>
      </c>
      <c r="D31" s="1">
        <v>5</v>
      </c>
      <c r="E31" s="1"/>
      <c r="F31" s="1">
        <v>0</v>
      </c>
      <c r="G31" s="1">
        <v>0</v>
      </c>
      <c r="H31" s="1"/>
      <c r="I31" s="1">
        <v>0</v>
      </c>
      <c r="J31" s="1">
        <v>0</v>
      </c>
      <c r="K31" s="1">
        <f t="shared" si="0"/>
        <v>6.2857142857142856</v>
      </c>
    </row>
    <row r="32" spans="1:11" x14ac:dyDescent="0.25">
      <c r="A32">
        <v>2001</v>
      </c>
      <c r="B32" s="1">
        <v>14</v>
      </c>
      <c r="C32" s="1">
        <v>70</v>
      </c>
      <c r="D32" s="1">
        <v>0</v>
      </c>
      <c r="E32" s="1"/>
      <c r="F32" s="1">
        <v>17</v>
      </c>
      <c r="G32" s="1">
        <v>0</v>
      </c>
      <c r="H32" s="1"/>
      <c r="I32" s="1">
        <v>0</v>
      </c>
      <c r="J32" s="1">
        <v>0</v>
      </c>
      <c r="K32" s="1">
        <f t="shared" si="0"/>
        <v>14.428571428571429</v>
      </c>
    </row>
    <row r="33" spans="1:11" x14ac:dyDescent="0.25">
      <c r="A33">
        <v>2002</v>
      </c>
      <c r="B33" s="1">
        <v>0</v>
      </c>
      <c r="C33" s="1">
        <v>28</v>
      </c>
      <c r="D33" s="1">
        <v>17</v>
      </c>
      <c r="E33" s="1"/>
      <c r="F33" s="1">
        <v>6</v>
      </c>
      <c r="G33" s="1">
        <v>0</v>
      </c>
      <c r="H33" s="1"/>
      <c r="I33" s="1">
        <v>0</v>
      </c>
      <c r="J33" s="1">
        <v>0</v>
      </c>
      <c r="K33" s="1">
        <f t="shared" si="0"/>
        <v>7.2857142857142856</v>
      </c>
    </row>
    <row r="34" spans="1:11" x14ac:dyDescent="0.25">
      <c r="A34">
        <v>2003</v>
      </c>
      <c r="B34" s="1">
        <v>18</v>
      </c>
      <c r="C34" s="1">
        <v>21</v>
      </c>
      <c r="D34" s="1">
        <v>0</v>
      </c>
      <c r="E34" s="1"/>
      <c r="F34" s="1">
        <v>8</v>
      </c>
      <c r="G34" s="1">
        <v>0</v>
      </c>
      <c r="H34" s="1"/>
      <c r="I34" s="1">
        <v>17</v>
      </c>
      <c r="J34" s="1">
        <v>0</v>
      </c>
      <c r="K34" s="1">
        <f t="shared" si="0"/>
        <v>9.1428571428571423</v>
      </c>
    </row>
    <row r="35" spans="1:11" x14ac:dyDescent="0.25">
      <c r="A35">
        <v>2004</v>
      </c>
      <c r="B35" s="1">
        <v>0</v>
      </c>
      <c r="C35" s="1">
        <v>0</v>
      </c>
      <c r="D35" s="1">
        <v>0</v>
      </c>
      <c r="E35" s="1"/>
      <c r="F35" s="1">
        <v>7</v>
      </c>
      <c r="G35" s="1">
        <v>0</v>
      </c>
      <c r="H35" s="1"/>
      <c r="I35" s="1">
        <v>0</v>
      </c>
      <c r="J35" s="1">
        <v>0</v>
      </c>
      <c r="K35" s="1">
        <f t="shared" si="0"/>
        <v>1</v>
      </c>
    </row>
    <row r="36" spans="1:11" x14ac:dyDescent="0.25">
      <c r="A36">
        <v>2005</v>
      </c>
      <c r="B36" s="1">
        <v>18</v>
      </c>
      <c r="C36" s="1">
        <v>46</v>
      </c>
      <c r="D36" s="1">
        <v>0</v>
      </c>
      <c r="E36" s="1"/>
      <c r="F36" s="1">
        <v>24</v>
      </c>
      <c r="G36" s="1">
        <v>0</v>
      </c>
      <c r="H36" s="1"/>
      <c r="I36" s="1">
        <v>12</v>
      </c>
      <c r="J36" s="1">
        <v>0</v>
      </c>
      <c r="K36" s="1">
        <f t="shared" si="0"/>
        <v>14.285714285714286</v>
      </c>
    </row>
    <row r="37" spans="1:11" x14ac:dyDescent="0.25">
      <c r="A37">
        <v>2006</v>
      </c>
      <c r="B37" s="1">
        <v>50</v>
      </c>
      <c r="C37" s="1">
        <v>25</v>
      </c>
      <c r="D37" s="1">
        <v>13</v>
      </c>
      <c r="E37" s="1"/>
      <c r="F37" s="1">
        <v>6</v>
      </c>
      <c r="G37" s="1">
        <v>22</v>
      </c>
      <c r="H37" s="1"/>
      <c r="I37" s="1">
        <v>8</v>
      </c>
      <c r="J37" s="1">
        <v>0</v>
      </c>
      <c r="K37" s="1">
        <f t="shared" si="0"/>
        <v>17.714285714285715</v>
      </c>
    </row>
    <row r="38" spans="1:11" x14ac:dyDescent="0.25">
      <c r="A38">
        <v>2007</v>
      </c>
      <c r="B38" s="1">
        <v>15</v>
      </c>
      <c r="C38" s="1">
        <v>26</v>
      </c>
      <c r="D38" s="1">
        <v>12</v>
      </c>
      <c r="E38" s="1"/>
      <c r="F38" s="1">
        <v>23</v>
      </c>
      <c r="G38" s="1">
        <v>0</v>
      </c>
      <c r="H38" s="1"/>
      <c r="I38" s="1">
        <v>0</v>
      </c>
      <c r="J38" s="1">
        <v>0</v>
      </c>
      <c r="K38" s="1">
        <f t="shared" si="0"/>
        <v>10.857142857142858</v>
      </c>
    </row>
    <row r="39" spans="1:11" x14ac:dyDescent="0.25">
      <c r="A39">
        <v>2008</v>
      </c>
      <c r="B39" s="1">
        <v>26</v>
      </c>
      <c r="C39" s="1">
        <v>32</v>
      </c>
      <c r="D39" s="1">
        <v>18</v>
      </c>
      <c r="E39" s="1"/>
      <c r="F39" s="1">
        <v>19</v>
      </c>
      <c r="G39" s="1">
        <v>0</v>
      </c>
      <c r="H39" s="1"/>
      <c r="I39" s="1">
        <v>8</v>
      </c>
      <c r="J39" s="1">
        <v>0</v>
      </c>
      <c r="K39" s="1">
        <f t="shared" si="0"/>
        <v>14.714285714285714</v>
      </c>
    </row>
    <row r="40" spans="1:11" x14ac:dyDescent="0.25">
      <c r="A40">
        <v>2009</v>
      </c>
      <c r="B40" s="1">
        <v>0</v>
      </c>
      <c r="C40" s="1">
        <v>36</v>
      </c>
      <c r="D40" s="1">
        <v>6</v>
      </c>
      <c r="E40" s="1"/>
      <c r="F40" s="1">
        <v>29</v>
      </c>
      <c r="G40" s="1">
        <v>0</v>
      </c>
      <c r="H40" s="1"/>
      <c r="I40" s="1">
        <v>8</v>
      </c>
      <c r="J40" s="1">
        <v>0</v>
      </c>
      <c r="K40" s="1">
        <f t="shared" si="0"/>
        <v>11.285714285714286</v>
      </c>
    </row>
    <row r="41" spans="1:11" x14ac:dyDescent="0.25">
      <c r="A41">
        <v>2010</v>
      </c>
      <c r="B41" s="1">
        <v>0</v>
      </c>
      <c r="C41" s="1">
        <v>36</v>
      </c>
      <c r="D41" s="1">
        <v>0</v>
      </c>
      <c r="E41" s="1"/>
      <c r="F41" s="1">
        <v>16</v>
      </c>
      <c r="G41" s="1">
        <v>0</v>
      </c>
      <c r="H41" s="1"/>
      <c r="I41" s="1">
        <v>0</v>
      </c>
      <c r="J41" s="1">
        <v>16</v>
      </c>
      <c r="K41" s="1">
        <f t="shared" si="0"/>
        <v>9.7142857142857135</v>
      </c>
    </row>
    <row r="42" spans="1:11" x14ac:dyDescent="0.25">
      <c r="A42">
        <v>2011</v>
      </c>
      <c r="B42" s="1">
        <v>0</v>
      </c>
      <c r="C42" s="1">
        <v>31</v>
      </c>
      <c r="D42" s="1">
        <v>30</v>
      </c>
      <c r="E42" s="1"/>
      <c r="F42" s="1">
        <v>13</v>
      </c>
      <c r="G42" s="1">
        <v>0</v>
      </c>
      <c r="H42" s="1"/>
      <c r="I42" s="1">
        <v>0</v>
      </c>
      <c r="J42" s="1">
        <v>21</v>
      </c>
      <c r="K42" s="1">
        <f t="shared" si="0"/>
        <v>13.571428571428571</v>
      </c>
    </row>
    <row r="43" spans="1:11" x14ac:dyDescent="0.25">
      <c r="A43">
        <v>2012</v>
      </c>
      <c r="B43" s="1">
        <v>32</v>
      </c>
      <c r="C43" s="1">
        <v>28</v>
      </c>
      <c r="D43" s="1">
        <v>0</v>
      </c>
      <c r="E43" s="1"/>
      <c r="F43" s="1">
        <v>19</v>
      </c>
      <c r="G43" s="1">
        <v>0</v>
      </c>
      <c r="H43" s="1"/>
      <c r="I43" s="1">
        <v>14</v>
      </c>
      <c r="J43" s="1">
        <v>0</v>
      </c>
      <c r="K43" s="1">
        <f t="shared" si="0"/>
        <v>13.285714285714286</v>
      </c>
    </row>
    <row r="44" spans="1:11" x14ac:dyDescent="0.25">
      <c r="A44">
        <v>2013</v>
      </c>
      <c r="B44" s="1">
        <v>24</v>
      </c>
      <c r="C44" s="1">
        <v>0</v>
      </c>
      <c r="D44" s="1">
        <v>11</v>
      </c>
      <c r="E44" s="1"/>
      <c r="F44" s="1">
        <v>13</v>
      </c>
      <c r="G44" s="1">
        <v>0</v>
      </c>
      <c r="H44" s="1"/>
      <c r="I44" s="1">
        <v>0</v>
      </c>
      <c r="J44" s="1">
        <v>0</v>
      </c>
      <c r="K44" s="1">
        <f t="shared" si="0"/>
        <v>6.8571428571428568</v>
      </c>
    </row>
    <row r="45" spans="1:11" x14ac:dyDescent="0.25">
      <c r="A45">
        <v>2014</v>
      </c>
      <c r="B45" s="1">
        <v>19</v>
      </c>
      <c r="C45" s="1">
        <v>0</v>
      </c>
      <c r="D45" s="1">
        <v>43</v>
      </c>
      <c r="E45" s="1"/>
      <c r="F45" s="1">
        <v>0</v>
      </c>
      <c r="G45" s="1">
        <v>1</v>
      </c>
      <c r="H45" s="1"/>
      <c r="I45" s="1">
        <v>0</v>
      </c>
      <c r="J45" s="1">
        <v>0</v>
      </c>
      <c r="K45" s="1">
        <f t="shared" si="0"/>
        <v>9</v>
      </c>
    </row>
    <row r="46" spans="1:11" x14ac:dyDescent="0.25">
      <c r="A46">
        <v>2015</v>
      </c>
      <c r="B46" s="1">
        <v>18</v>
      </c>
      <c r="C46" s="1">
        <v>0</v>
      </c>
      <c r="D46" s="1">
        <v>0</v>
      </c>
      <c r="E46" s="1"/>
      <c r="F46" s="1">
        <v>13</v>
      </c>
      <c r="G46" s="1">
        <v>0</v>
      </c>
      <c r="H46" s="1"/>
      <c r="I46" s="1">
        <v>0</v>
      </c>
      <c r="J46" s="1">
        <v>0</v>
      </c>
      <c r="K46" s="1">
        <f t="shared" si="0"/>
        <v>4.4285714285714288</v>
      </c>
    </row>
    <row r="47" spans="1:11" x14ac:dyDescent="0.25">
      <c r="A47">
        <v>2016</v>
      </c>
      <c r="B47" s="1">
        <v>0</v>
      </c>
      <c r="C47" s="1">
        <v>0</v>
      </c>
      <c r="D47" s="1">
        <v>0</v>
      </c>
      <c r="E47" s="1"/>
      <c r="F47" s="1">
        <v>8</v>
      </c>
      <c r="G47" s="1">
        <v>13</v>
      </c>
      <c r="H47" s="1"/>
      <c r="I47" s="1">
        <v>0</v>
      </c>
      <c r="J47" s="1">
        <v>0</v>
      </c>
      <c r="K47" s="1">
        <f t="shared" si="0"/>
        <v>3</v>
      </c>
    </row>
    <row r="48" spans="1:11" x14ac:dyDescent="0.25">
      <c r="A48">
        <v>2017</v>
      </c>
      <c r="B48" s="1">
        <v>0</v>
      </c>
      <c r="C48" s="1">
        <v>0</v>
      </c>
      <c r="D48" s="1">
        <v>39</v>
      </c>
      <c r="E48" s="1"/>
      <c r="F48" s="1">
        <v>55</v>
      </c>
      <c r="G48" s="1">
        <v>14</v>
      </c>
      <c r="H48" s="1"/>
      <c r="I48" s="1">
        <v>0</v>
      </c>
      <c r="J48" s="1">
        <v>0</v>
      </c>
      <c r="K48" s="1">
        <f t="shared" si="0"/>
        <v>15.428571428571429</v>
      </c>
    </row>
    <row r="49" spans="1:11" x14ac:dyDescent="0.25">
      <c r="A49">
        <v>2018</v>
      </c>
      <c r="B49" s="1">
        <v>0</v>
      </c>
      <c r="C49" s="1">
        <v>0</v>
      </c>
      <c r="D49" s="1">
        <v>29</v>
      </c>
      <c r="E49" s="1"/>
      <c r="F49" s="1">
        <v>37</v>
      </c>
      <c r="G49" s="1">
        <v>13</v>
      </c>
      <c r="H49" s="1"/>
      <c r="I49" s="1">
        <v>0</v>
      </c>
      <c r="J49" s="1">
        <v>0</v>
      </c>
      <c r="K49" s="1">
        <f t="shared" si="0"/>
        <v>11.285714285714286</v>
      </c>
    </row>
    <row r="50" spans="1:11" x14ac:dyDescent="0.25">
      <c r="A50">
        <v>2019</v>
      </c>
      <c r="B50" s="1">
        <v>0</v>
      </c>
      <c r="C50" s="1">
        <v>0</v>
      </c>
      <c r="D50" s="1">
        <v>20</v>
      </c>
      <c r="E50" s="1"/>
      <c r="F50" s="1">
        <v>28</v>
      </c>
      <c r="G50" s="1">
        <v>0</v>
      </c>
      <c r="H50" s="1"/>
      <c r="I50" s="1">
        <v>0</v>
      </c>
      <c r="J50" s="1">
        <v>0</v>
      </c>
      <c r="K50" s="1">
        <f t="shared" si="0"/>
        <v>6.8571428571428568</v>
      </c>
    </row>
    <row r="51" spans="1:11" x14ac:dyDescent="0.25">
      <c r="A51">
        <v>2020</v>
      </c>
      <c r="B51" s="1">
        <v>0</v>
      </c>
      <c r="C51" s="1">
        <v>0</v>
      </c>
      <c r="D51" s="1">
        <v>0</v>
      </c>
      <c r="E51" s="1"/>
      <c r="F51" s="1">
        <v>73</v>
      </c>
      <c r="G51" s="1">
        <v>13</v>
      </c>
      <c r="H51" s="1"/>
      <c r="I51" s="1">
        <v>0</v>
      </c>
      <c r="J51" s="1">
        <v>0</v>
      </c>
      <c r="K51" s="1">
        <f t="shared" si="0"/>
        <v>12.285714285714286</v>
      </c>
    </row>
    <row r="52" spans="1:11" x14ac:dyDescent="0.25">
      <c r="A52">
        <v>2021</v>
      </c>
      <c r="B52" s="1">
        <v>0</v>
      </c>
      <c r="C52" s="1">
        <v>0</v>
      </c>
      <c r="D52" s="1">
        <v>20</v>
      </c>
      <c r="E52" s="1"/>
      <c r="F52" s="1">
        <v>0</v>
      </c>
      <c r="G52" s="1">
        <v>13</v>
      </c>
      <c r="H52" s="1"/>
      <c r="I52" s="1">
        <v>0</v>
      </c>
      <c r="J52" s="1">
        <v>0</v>
      </c>
      <c r="K52" s="1">
        <f t="shared" si="0"/>
        <v>4.7142857142857144</v>
      </c>
    </row>
    <row r="53" spans="1:11" x14ac:dyDescent="0.25">
      <c r="A53">
        <v>2022</v>
      </c>
      <c r="B53" s="1">
        <v>0</v>
      </c>
      <c r="C53" s="1">
        <v>20</v>
      </c>
      <c r="D53" s="1">
        <v>0</v>
      </c>
      <c r="E53" s="1"/>
      <c r="F53" s="1">
        <v>22</v>
      </c>
      <c r="G53" s="1">
        <v>0</v>
      </c>
      <c r="H53" s="1"/>
      <c r="I53" s="1">
        <v>24</v>
      </c>
      <c r="J53" s="1">
        <v>0</v>
      </c>
      <c r="K53" s="1">
        <f t="shared" si="0"/>
        <v>9.4285714285714288</v>
      </c>
    </row>
    <row r="54" spans="1:11" x14ac:dyDescent="0.25">
      <c r="A54">
        <v>2023</v>
      </c>
      <c r="B54" s="1">
        <v>0</v>
      </c>
      <c r="C54" s="1">
        <v>9</v>
      </c>
      <c r="D54" s="1">
        <v>14</v>
      </c>
      <c r="E54" s="1"/>
      <c r="F54" s="1">
        <v>21</v>
      </c>
      <c r="G54" s="1">
        <v>0</v>
      </c>
      <c r="H54" s="1"/>
      <c r="I54" s="1">
        <v>18</v>
      </c>
      <c r="J54" s="1">
        <v>0</v>
      </c>
      <c r="K54" s="1">
        <f t="shared" si="0"/>
        <v>8.8571428571428577</v>
      </c>
    </row>
    <row r="55" spans="1:11" x14ac:dyDescent="0.25">
      <c r="A55">
        <v>2024</v>
      </c>
      <c r="B55" s="1">
        <v>0</v>
      </c>
      <c r="C55" s="1">
        <v>26</v>
      </c>
      <c r="D55" s="1">
        <v>11</v>
      </c>
      <c r="E55" s="1"/>
      <c r="F55" s="1">
        <v>19</v>
      </c>
      <c r="G55" s="1">
        <v>0</v>
      </c>
      <c r="H55" s="1"/>
      <c r="I55" s="1">
        <v>10</v>
      </c>
      <c r="J55" s="1">
        <v>0</v>
      </c>
      <c r="K55" s="1">
        <f t="shared" si="0"/>
        <v>9.4285714285714288</v>
      </c>
    </row>
    <row r="56" spans="1:11" x14ac:dyDescent="0.25">
      <c r="A56">
        <v>2025</v>
      </c>
      <c r="B56" s="1"/>
      <c r="C56" s="1">
        <v>17</v>
      </c>
      <c r="D56" s="1">
        <v>25</v>
      </c>
      <c r="E56" s="1">
        <v>32</v>
      </c>
      <c r="F56" s="1">
        <v>26</v>
      </c>
      <c r="G56" s="1">
        <v>13</v>
      </c>
      <c r="H56" s="1"/>
      <c r="I56" s="1">
        <v>10</v>
      </c>
      <c r="J56" s="1"/>
      <c r="K56" s="1">
        <f t="shared" si="0"/>
        <v>20.5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6"/>
  <sheetViews>
    <sheetView workbookViewId="0">
      <selection activeCell="K12" sqref="K10:K12"/>
    </sheetView>
  </sheetViews>
  <sheetFormatPr defaultRowHeight="15" x14ac:dyDescent="0.25"/>
  <sheetData>
    <row r="1" spans="1:8" ht="75" x14ac:dyDescent="0.25">
      <c r="B1" t="s">
        <v>163</v>
      </c>
      <c r="C1" t="s">
        <v>164</v>
      </c>
      <c r="D1" t="s">
        <v>165</v>
      </c>
      <c r="E1" t="s">
        <v>166</v>
      </c>
      <c r="F1" t="s">
        <v>167</v>
      </c>
      <c r="G1" s="3" t="s">
        <v>168</v>
      </c>
      <c r="H1" s="3" t="s">
        <v>213</v>
      </c>
    </row>
    <row r="2" spans="1:8" x14ac:dyDescent="0.25">
      <c r="A2">
        <v>1971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>
        <v>0</v>
      </c>
      <c r="H2" s="1">
        <f>AVERAGE(B2:G2)</f>
        <v>0</v>
      </c>
    </row>
    <row r="3" spans="1:8" x14ac:dyDescent="0.25">
      <c r="A3">
        <v>1972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>
        <v>0</v>
      </c>
      <c r="H3" s="1">
        <f t="shared" ref="H3:H56" si="0">AVERAGE(B3:G3)</f>
        <v>0</v>
      </c>
    </row>
    <row r="4" spans="1:8" x14ac:dyDescent="0.25">
      <c r="A4">
        <v>1973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>
        <v>0</v>
      </c>
      <c r="H4" s="1">
        <f t="shared" si="0"/>
        <v>0</v>
      </c>
    </row>
    <row r="5" spans="1:8" x14ac:dyDescent="0.25">
      <c r="A5">
        <v>1974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>
        <v>0</v>
      </c>
      <c r="H5" s="1">
        <f t="shared" si="0"/>
        <v>0</v>
      </c>
    </row>
    <row r="6" spans="1:8" x14ac:dyDescent="0.25">
      <c r="A6">
        <v>1975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>
        <v>0</v>
      </c>
      <c r="H6" s="1">
        <f t="shared" si="0"/>
        <v>0</v>
      </c>
    </row>
    <row r="7" spans="1:8" x14ac:dyDescent="0.25">
      <c r="A7">
        <v>1976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>
        <v>0</v>
      </c>
      <c r="H7" s="1">
        <f t="shared" si="0"/>
        <v>0</v>
      </c>
    </row>
    <row r="8" spans="1:8" x14ac:dyDescent="0.25">
      <c r="A8">
        <v>1977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>
        <v>0</v>
      </c>
      <c r="H8" s="1">
        <f t="shared" si="0"/>
        <v>0</v>
      </c>
    </row>
    <row r="9" spans="1:8" x14ac:dyDescent="0.25">
      <c r="A9">
        <v>1978</v>
      </c>
      <c r="B9" s="1">
        <v>4.5</v>
      </c>
      <c r="C9" s="1">
        <v>34</v>
      </c>
      <c r="D9" s="1">
        <v>10.4</v>
      </c>
      <c r="E9" s="1">
        <v>0</v>
      </c>
      <c r="F9" s="1">
        <v>12</v>
      </c>
      <c r="G9">
        <v>0</v>
      </c>
      <c r="H9" s="1">
        <f t="shared" si="0"/>
        <v>10.15</v>
      </c>
    </row>
    <row r="10" spans="1:8" x14ac:dyDescent="0.25">
      <c r="A10">
        <v>1979</v>
      </c>
      <c r="B10" s="1">
        <v>13.6</v>
      </c>
      <c r="C10" s="1">
        <v>25.2</v>
      </c>
      <c r="D10" s="1">
        <v>12.6</v>
      </c>
      <c r="E10" s="1">
        <v>0</v>
      </c>
      <c r="F10" s="1">
        <v>0</v>
      </c>
      <c r="G10">
        <v>0</v>
      </c>
      <c r="H10" s="1">
        <f t="shared" si="0"/>
        <v>8.5666666666666664</v>
      </c>
    </row>
    <row r="11" spans="1:8" x14ac:dyDescent="0.25">
      <c r="A11">
        <v>1980</v>
      </c>
      <c r="B11" s="1">
        <v>33.6</v>
      </c>
      <c r="C11" s="1">
        <v>25.2</v>
      </c>
      <c r="D11" s="1">
        <v>17.600000000000001</v>
      </c>
      <c r="E11" s="1">
        <v>15</v>
      </c>
      <c r="F11" s="1">
        <v>8</v>
      </c>
      <c r="G11">
        <v>19.8</v>
      </c>
      <c r="H11" s="1">
        <f t="shared" si="0"/>
        <v>19.866666666666667</v>
      </c>
    </row>
    <row r="12" spans="1:8" x14ac:dyDescent="0.25">
      <c r="A12">
        <v>1981</v>
      </c>
      <c r="B12" s="1">
        <v>0</v>
      </c>
      <c r="C12" s="1">
        <v>0</v>
      </c>
      <c r="D12" s="1">
        <v>10.8</v>
      </c>
      <c r="E12" s="1">
        <v>0</v>
      </c>
      <c r="F12" s="1">
        <v>0</v>
      </c>
      <c r="G12">
        <v>0</v>
      </c>
      <c r="H12" s="1">
        <f t="shared" si="0"/>
        <v>1.8</v>
      </c>
    </row>
    <row r="13" spans="1:8" x14ac:dyDescent="0.25">
      <c r="A13">
        <v>1982</v>
      </c>
      <c r="B13" s="1">
        <v>0</v>
      </c>
      <c r="C13" s="1">
        <v>62.7</v>
      </c>
      <c r="D13" s="1">
        <v>28.8</v>
      </c>
      <c r="E13" s="1">
        <v>41.82</v>
      </c>
      <c r="F13" s="1">
        <v>12.8</v>
      </c>
      <c r="G13">
        <v>0</v>
      </c>
      <c r="H13" s="1">
        <f t="shared" si="0"/>
        <v>24.353333333333335</v>
      </c>
    </row>
    <row r="14" spans="1:8" x14ac:dyDescent="0.25">
      <c r="A14">
        <v>1983</v>
      </c>
      <c r="B14" s="1">
        <v>10</v>
      </c>
      <c r="C14" s="1">
        <v>0</v>
      </c>
      <c r="D14" s="1">
        <v>30</v>
      </c>
      <c r="E14" s="1">
        <v>13</v>
      </c>
      <c r="F14" s="1">
        <v>32</v>
      </c>
      <c r="G14">
        <v>0</v>
      </c>
      <c r="H14" s="1">
        <f t="shared" si="0"/>
        <v>14.166666666666666</v>
      </c>
    </row>
    <row r="15" spans="1:8" x14ac:dyDescent="0.25">
      <c r="A15">
        <v>1984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>
        <v>0</v>
      </c>
      <c r="H15" s="1">
        <f t="shared" si="0"/>
        <v>0</v>
      </c>
    </row>
    <row r="16" spans="1:8" x14ac:dyDescent="0.25">
      <c r="A16">
        <v>1985</v>
      </c>
      <c r="B16" s="1">
        <v>0</v>
      </c>
      <c r="C16" s="1">
        <v>4.4000000000000004</v>
      </c>
      <c r="D16" s="1">
        <v>35.1</v>
      </c>
      <c r="E16" s="1">
        <v>0</v>
      </c>
      <c r="F16" s="1">
        <v>8.8000000000000007</v>
      </c>
      <c r="G16">
        <v>0</v>
      </c>
      <c r="H16" s="1">
        <f t="shared" si="0"/>
        <v>8.0499999999999989</v>
      </c>
    </row>
    <row r="17" spans="1:8" x14ac:dyDescent="0.25">
      <c r="A17">
        <v>1986</v>
      </c>
      <c r="B17" s="1">
        <v>0</v>
      </c>
      <c r="C17" s="1">
        <v>6</v>
      </c>
      <c r="D17" s="1">
        <v>0</v>
      </c>
      <c r="E17" s="1">
        <v>0</v>
      </c>
      <c r="F17" s="1">
        <v>0</v>
      </c>
      <c r="G17">
        <v>0</v>
      </c>
      <c r="H17" s="1">
        <f t="shared" si="0"/>
        <v>1</v>
      </c>
    </row>
    <row r="18" spans="1:8" x14ac:dyDescent="0.25">
      <c r="A18">
        <v>1987</v>
      </c>
      <c r="B18" s="1">
        <v>0</v>
      </c>
      <c r="C18" s="1">
        <v>21</v>
      </c>
      <c r="D18" s="1">
        <v>15</v>
      </c>
      <c r="E18" s="1">
        <v>0</v>
      </c>
      <c r="F18" s="1">
        <v>0</v>
      </c>
      <c r="G18">
        <v>0</v>
      </c>
      <c r="H18" s="1">
        <f t="shared" si="0"/>
        <v>6</v>
      </c>
    </row>
    <row r="19" spans="1:8" x14ac:dyDescent="0.25">
      <c r="A19">
        <v>1988</v>
      </c>
      <c r="B19" s="1">
        <v>14</v>
      </c>
      <c r="C19" s="1">
        <v>103</v>
      </c>
      <c r="D19" s="1">
        <v>16</v>
      </c>
      <c r="E19" s="1">
        <v>62</v>
      </c>
      <c r="F19" s="1">
        <v>0</v>
      </c>
      <c r="G19">
        <v>0</v>
      </c>
      <c r="H19" s="1">
        <f t="shared" si="0"/>
        <v>32.5</v>
      </c>
    </row>
    <row r="20" spans="1:8" x14ac:dyDescent="0.25">
      <c r="A20">
        <v>1989</v>
      </c>
      <c r="B20" s="1">
        <v>13</v>
      </c>
      <c r="C20" s="1">
        <v>0</v>
      </c>
      <c r="D20" s="1">
        <v>14</v>
      </c>
      <c r="E20" s="1">
        <v>0</v>
      </c>
      <c r="F20" s="1">
        <v>22</v>
      </c>
      <c r="G20">
        <v>0</v>
      </c>
      <c r="H20" s="1">
        <f t="shared" si="0"/>
        <v>8.1666666666666661</v>
      </c>
    </row>
    <row r="21" spans="1:8" x14ac:dyDescent="0.25">
      <c r="A21">
        <v>1990</v>
      </c>
      <c r="B21" s="1">
        <v>0</v>
      </c>
      <c r="C21" s="1">
        <v>14</v>
      </c>
      <c r="D21" s="1">
        <v>0</v>
      </c>
      <c r="E21" s="1">
        <v>21</v>
      </c>
      <c r="F21" s="1">
        <v>5</v>
      </c>
      <c r="G21">
        <v>0</v>
      </c>
      <c r="H21" s="1">
        <f t="shared" si="0"/>
        <v>6.666666666666667</v>
      </c>
    </row>
    <row r="22" spans="1:8" x14ac:dyDescent="0.25">
      <c r="A22">
        <v>1991</v>
      </c>
      <c r="B22" s="1">
        <v>4</v>
      </c>
      <c r="C22" s="1">
        <v>15</v>
      </c>
      <c r="D22" s="1">
        <v>12</v>
      </c>
      <c r="E22" s="1">
        <v>48</v>
      </c>
      <c r="F22" s="1">
        <v>14</v>
      </c>
      <c r="G22">
        <v>0</v>
      </c>
      <c r="H22" s="1">
        <f t="shared" si="0"/>
        <v>15.5</v>
      </c>
    </row>
    <row r="23" spans="1:8" x14ac:dyDescent="0.25">
      <c r="A23">
        <v>1992</v>
      </c>
      <c r="B23" s="1">
        <v>0</v>
      </c>
      <c r="C23" s="1">
        <v>26</v>
      </c>
      <c r="D23" s="1">
        <v>0</v>
      </c>
      <c r="E23" s="1">
        <v>58</v>
      </c>
      <c r="F23" s="1">
        <v>0</v>
      </c>
      <c r="G23">
        <v>0</v>
      </c>
      <c r="H23" s="1">
        <f t="shared" si="0"/>
        <v>14</v>
      </c>
    </row>
    <row r="24" spans="1:8" x14ac:dyDescent="0.25">
      <c r="A24">
        <v>1993</v>
      </c>
      <c r="B24" s="1">
        <v>20</v>
      </c>
      <c r="C24" s="1">
        <v>0</v>
      </c>
      <c r="D24" s="1">
        <v>22</v>
      </c>
      <c r="E24" s="1">
        <v>20</v>
      </c>
      <c r="F24" s="1">
        <v>0</v>
      </c>
      <c r="G24">
        <v>0</v>
      </c>
      <c r="H24" s="1">
        <f t="shared" si="0"/>
        <v>10.333333333333334</v>
      </c>
    </row>
    <row r="25" spans="1:8" x14ac:dyDescent="0.25">
      <c r="A25">
        <v>1994</v>
      </c>
      <c r="B25" s="1">
        <v>5</v>
      </c>
      <c r="C25" s="1">
        <v>41</v>
      </c>
      <c r="D25" s="1">
        <v>56</v>
      </c>
      <c r="E25" s="1">
        <v>137</v>
      </c>
      <c r="F25" s="1">
        <v>14</v>
      </c>
      <c r="G25">
        <v>0</v>
      </c>
      <c r="H25" s="1">
        <f t="shared" si="0"/>
        <v>42.166666666666664</v>
      </c>
    </row>
    <row r="26" spans="1:8" x14ac:dyDescent="0.25">
      <c r="A26">
        <v>1995</v>
      </c>
      <c r="B26" s="1">
        <v>6</v>
      </c>
      <c r="C26" s="1">
        <v>34</v>
      </c>
      <c r="D26" s="1">
        <v>9</v>
      </c>
      <c r="E26" s="1">
        <v>30</v>
      </c>
      <c r="F26" s="1">
        <v>0</v>
      </c>
      <c r="G26">
        <v>0</v>
      </c>
      <c r="H26" s="1">
        <f t="shared" si="0"/>
        <v>13.166666666666666</v>
      </c>
    </row>
    <row r="27" spans="1:8" x14ac:dyDescent="0.25">
      <c r="A27">
        <v>1996</v>
      </c>
      <c r="B27" s="1">
        <v>0</v>
      </c>
      <c r="C27" s="1">
        <v>0</v>
      </c>
      <c r="D27" s="1">
        <v>0</v>
      </c>
      <c r="E27" s="1">
        <v>17</v>
      </c>
      <c r="F27" s="1">
        <v>0</v>
      </c>
      <c r="G27">
        <v>0</v>
      </c>
      <c r="H27" s="1">
        <f t="shared" si="0"/>
        <v>2.8333333333333335</v>
      </c>
    </row>
    <row r="28" spans="1:8" x14ac:dyDescent="0.25">
      <c r="A28">
        <v>1997</v>
      </c>
      <c r="B28" s="1">
        <v>0</v>
      </c>
      <c r="C28" s="1">
        <v>9</v>
      </c>
      <c r="D28" s="1">
        <v>0</v>
      </c>
      <c r="E28" s="1">
        <v>8</v>
      </c>
      <c r="F28" s="1">
        <v>15</v>
      </c>
      <c r="G28">
        <v>0</v>
      </c>
      <c r="H28" s="1">
        <f t="shared" si="0"/>
        <v>5.333333333333333</v>
      </c>
    </row>
    <row r="29" spans="1:8" x14ac:dyDescent="0.25">
      <c r="A29">
        <v>1998</v>
      </c>
      <c r="B29" s="1">
        <v>10</v>
      </c>
      <c r="C29" s="1">
        <v>20</v>
      </c>
      <c r="D29" s="1">
        <v>20</v>
      </c>
      <c r="E29" s="1">
        <v>31</v>
      </c>
      <c r="F29" s="1">
        <v>5</v>
      </c>
      <c r="G29">
        <v>0</v>
      </c>
      <c r="H29" s="1">
        <f t="shared" si="0"/>
        <v>14.333333333333334</v>
      </c>
    </row>
    <row r="30" spans="1:8" x14ac:dyDescent="0.25">
      <c r="A30">
        <v>1999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>
        <v>0</v>
      </c>
      <c r="H30" s="1">
        <f t="shared" si="0"/>
        <v>0</v>
      </c>
    </row>
    <row r="31" spans="1:8" x14ac:dyDescent="0.25">
      <c r="A31">
        <v>2000</v>
      </c>
      <c r="B31" s="1">
        <v>0</v>
      </c>
      <c r="C31" s="1">
        <v>13</v>
      </c>
      <c r="D31" s="1">
        <v>0</v>
      </c>
      <c r="E31" s="1">
        <v>11</v>
      </c>
      <c r="F31" s="1">
        <v>0</v>
      </c>
      <c r="G31">
        <v>0</v>
      </c>
      <c r="H31" s="1">
        <f t="shared" si="0"/>
        <v>4</v>
      </c>
    </row>
    <row r="32" spans="1:8" x14ac:dyDescent="0.25">
      <c r="A32">
        <v>2001</v>
      </c>
      <c r="B32" s="1">
        <v>0</v>
      </c>
      <c r="C32" s="1">
        <v>0</v>
      </c>
      <c r="D32" s="1">
        <v>1</v>
      </c>
      <c r="E32" s="1">
        <v>0</v>
      </c>
      <c r="F32" s="1">
        <v>0</v>
      </c>
      <c r="G32">
        <v>0</v>
      </c>
      <c r="H32" s="1">
        <f t="shared" si="0"/>
        <v>0.16666666666666666</v>
      </c>
    </row>
    <row r="33" spans="1:8" x14ac:dyDescent="0.25">
      <c r="A33">
        <v>2002</v>
      </c>
      <c r="B33" s="1">
        <v>0</v>
      </c>
      <c r="C33" s="1">
        <v>0</v>
      </c>
      <c r="D33" s="1">
        <v>0</v>
      </c>
      <c r="E33" s="1">
        <v>0</v>
      </c>
      <c r="F33" s="1">
        <v>32</v>
      </c>
      <c r="G33">
        <v>0</v>
      </c>
      <c r="H33" s="1">
        <f t="shared" si="0"/>
        <v>5.333333333333333</v>
      </c>
    </row>
    <row r="34" spans="1:8" x14ac:dyDescent="0.25">
      <c r="A34">
        <v>2003</v>
      </c>
      <c r="B34" s="1">
        <v>21</v>
      </c>
      <c r="C34" s="1">
        <v>29</v>
      </c>
      <c r="D34" s="1">
        <v>16</v>
      </c>
      <c r="E34" s="1">
        <v>35</v>
      </c>
      <c r="F34" s="1">
        <v>14</v>
      </c>
      <c r="G34">
        <v>0</v>
      </c>
      <c r="H34" s="1">
        <f t="shared" si="0"/>
        <v>19.166666666666668</v>
      </c>
    </row>
    <row r="35" spans="1:8" x14ac:dyDescent="0.25">
      <c r="A35">
        <v>2004</v>
      </c>
      <c r="B35" s="1">
        <v>0</v>
      </c>
      <c r="C35" s="1">
        <v>0</v>
      </c>
      <c r="D35" s="1">
        <v>29</v>
      </c>
      <c r="E35" s="1">
        <v>0</v>
      </c>
      <c r="F35" s="1">
        <v>0</v>
      </c>
      <c r="G35">
        <v>0</v>
      </c>
      <c r="H35" s="1">
        <f t="shared" si="0"/>
        <v>4.833333333333333</v>
      </c>
    </row>
    <row r="36" spans="1:8" x14ac:dyDescent="0.25">
      <c r="A36">
        <v>2005</v>
      </c>
      <c r="B36" s="1">
        <v>0</v>
      </c>
      <c r="C36" s="1">
        <v>15</v>
      </c>
      <c r="D36" s="1">
        <v>16</v>
      </c>
      <c r="E36" s="1">
        <v>26</v>
      </c>
      <c r="F36" s="1">
        <v>0</v>
      </c>
      <c r="G36">
        <v>0</v>
      </c>
      <c r="H36" s="1">
        <f t="shared" si="0"/>
        <v>9.5</v>
      </c>
    </row>
    <row r="37" spans="1:8" x14ac:dyDescent="0.25">
      <c r="A37">
        <v>2006</v>
      </c>
      <c r="B37" s="1">
        <v>26</v>
      </c>
      <c r="C37" s="1">
        <v>77</v>
      </c>
      <c r="D37" s="1">
        <v>108</v>
      </c>
      <c r="E37" s="1">
        <v>45</v>
      </c>
      <c r="F37" s="1">
        <v>43</v>
      </c>
      <c r="G37">
        <v>0</v>
      </c>
      <c r="H37" s="1">
        <f t="shared" si="0"/>
        <v>49.833333333333336</v>
      </c>
    </row>
    <row r="38" spans="1:8" x14ac:dyDescent="0.25">
      <c r="A38">
        <v>2007</v>
      </c>
      <c r="B38" s="1">
        <v>8</v>
      </c>
      <c r="C38" s="1">
        <v>12</v>
      </c>
      <c r="D38" s="1">
        <v>12</v>
      </c>
      <c r="E38" s="1">
        <v>11</v>
      </c>
      <c r="F38" s="1">
        <v>16</v>
      </c>
      <c r="G38">
        <v>0</v>
      </c>
      <c r="H38" s="1">
        <f t="shared" si="0"/>
        <v>9.8333333333333339</v>
      </c>
    </row>
    <row r="39" spans="1:8" x14ac:dyDescent="0.25">
      <c r="A39">
        <v>2008</v>
      </c>
      <c r="B39" s="1">
        <v>0</v>
      </c>
      <c r="C39" s="1">
        <v>10</v>
      </c>
      <c r="D39" s="1">
        <v>0</v>
      </c>
      <c r="E39" s="1">
        <v>35</v>
      </c>
      <c r="F39" s="1">
        <v>7</v>
      </c>
      <c r="G39">
        <v>0</v>
      </c>
      <c r="H39" s="1">
        <f t="shared" si="0"/>
        <v>8.6666666666666661</v>
      </c>
    </row>
    <row r="40" spans="1:8" x14ac:dyDescent="0.25">
      <c r="A40">
        <v>2009</v>
      </c>
      <c r="B40" s="1">
        <v>22</v>
      </c>
      <c r="C40" s="1">
        <v>46</v>
      </c>
      <c r="D40" s="1">
        <v>34</v>
      </c>
      <c r="E40" s="1">
        <v>84</v>
      </c>
      <c r="F40" s="1">
        <v>35</v>
      </c>
      <c r="G40" s="1">
        <v>0</v>
      </c>
      <c r="H40" s="1">
        <f t="shared" si="0"/>
        <v>36.833333333333336</v>
      </c>
    </row>
    <row r="41" spans="1:8" x14ac:dyDescent="0.25">
      <c r="A41">
        <v>2010</v>
      </c>
      <c r="B41" s="1">
        <v>102</v>
      </c>
      <c r="C41" s="1">
        <v>30</v>
      </c>
      <c r="D41" s="1">
        <v>44</v>
      </c>
      <c r="E41" s="1">
        <v>68</v>
      </c>
      <c r="F41" s="1">
        <v>27</v>
      </c>
      <c r="G41" s="1">
        <v>0</v>
      </c>
      <c r="H41" s="1">
        <f t="shared" si="0"/>
        <v>45.166666666666664</v>
      </c>
    </row>
    <row r="42" spans="1:8" x14ac:dyDescent="0.25">
      <c r="A42">
        <v>2011</v>
      </c>
      <c r="B42" s="1">
        <v>12</v>
      </c>
      <c r="C42" s="1">
        <v>1</v>
      </c>
      <c r="D42" s="1">
        <v>11</v>
      </c>
      <c r="E42" s="1">
        <v>25</v>
      </c>
      <c r="F42" s="1">
        <v>23</v>
      </c>
      <c r="G42" s="1">
        <v>0</v>
      </c>
      <c r="H42" s="1">
        <f t="shared" si="0"/>
        <v>12</v>
      </c>
    </row>
    <row r="43" spans="1:8" x14ac:dyDescent="0.25">
      <c r="A43">
        <v>2012</v>
      </c>
      <c r="B43" s="1">
        <v>0</v>
      </c>
      <c r="C43" s="1">
        <v>52</v>
      </c>
      <c r="D43" s="1">
        <v>81</v>
      </c>
      <c r="E43" s="1">
        <v>45</v>
      </c>
      <c r="F43" s="1">
        <v>17</v>
      </c>
      <c r="G43" s="1">
        <v>0</v>
      </c>
      <c r="H43" s="1">
        <f t="shared" si="0"/>
        <v>32.5</v>
      </c>
    </row>
    <row r="44" spans="1:8" x14ac:dyDescent="0.25">
      <c r="A44">
        <v>2013</v>
      </c>
      <c r="B44" s="1">
        <v>0</v>
      </c>
      <c r="C44" s="1">
        <v>15</v>
      </c>
      <c r="D44" s="1">
        <v>0</v>
      </c>
      <c r="E44" s="1">
        <v>22</v>
      </c>
      <c r="F44" s="1">
        <v>13</v>
      </c>
      <c r="G44" s="1">
        <v>0</v>
      </c>
      <c r="H44" s="1">
        <f t="shared" si="0"/>
        <v>8.3333333333333339</v>
      </c>
    </row>
    <row r="45" spans="1:8" x14ac:dyDescent="0.25">
      <c r="A45">
        <v>2014</v>
      </c>
      <c r="B45" s="1">
        <v>6</v>
      </c>
      <c r="C45" s="1">
        <v>0</v>
      </c>
      <c r="D45" s="1">
        <v>10</v>
      </c>
      <c r="E45" s="1">
        <v>50</v>
      </c>
      <c r="F45" s="1">
        <v>0</v>
      </c>
      <c r="G45" s="1">
        <v>0</v>
      </c>
      <c r="H45" s="1">
        <f t="shared" si="0"/>
        <v>11</v>
      </c>
    </row>
    <row r="46" spans="1:8" x14ac:dyDescent="0.25">
      <c r="A46">
        <v>2015</v>
      </c>
      <c r="B46" s="1">
        <v>0</v>
      </c>
      <c r="C46" s="1">
        <v>23</v>
      </c>
      <c r="D46" s="1">
        <v>0</v>
      </c>
      <c r="E46" s="1">
        <v>21</v>
      </c>
      <c r="F46" s="1">
        <v>20</v>
      </c>
      <c r="G46" s="1">
        <v>0</v>
      </c>
      <c r="H46" s="1">
        <f t="shared" si="0"/>
        <v>10.666666666666666</v>
      </c>
    </row>
    <row r="47" spans="1:8" x14ac:dyDescent="0.25">
      <c r="A47">
        <v>2016</v>
      </c>
      <c r="B47" s="1">
        <v>24</v>
      </c>
      <c r="C47" s="1">
        <v>11</v>
      </c>
      <c r="D47" s="1">
        <v>0</v>
      </c>
      <c r="E47" s="1">
        <v>0</v>
      </c>
      <c r="F47" s="1">
        <v>0</v>
      </c>
      <c r="G47" s="1">
        <v>0</v>
      </c>
      <c r="H47" s="1">
        <f t="shared" si="0"/>
        <v>5.833333333333333</v>
      </c>
    </row>
    <row r="48" spans="1:8" x14ac:dyDescent="0.25">
      <c r="A48">
        <v>2017</v>
      </c>
      <c r="B48" s="1">
        <v>0</v>
      </c>
      <c r="C48" s="1">
        <v>31</v>
      </c>
      <c r="D48" s="1">
        <v>19</v>
      </c>
      <c r="E48" s="1">
        <v>53</v>
      </c>
      <c r="F48" s="1">
        <v>0</v>
      </c>
      <c r="G48" s="1">
        <v>0</v>
      </c>
      <c r="H48" s="1">
        <f t="shared" si="0"/>
        <v>17.166666666666668</v>
      </c>
    </row>
    <row r="49" spans="1:8" x14ac:dyDescent="0.25">
      <c r="A49">
        <v>2018</v>
      </c>
      <c r="B49" s="1">
        <v>0</v>
      </c>
      <c r="C49" s="1">
        <v>0</v>
      </c>
      <c r="D49" s="1">
        <v>24</v>
      </c>
      <c r="E49" s="1">
        <v>15</v>
      </c>
      <c r="F49" s="1">
        <v>0</v>
      </c>
      <c r="G49" s="1">
        <v>0</v>
      </c>
      <c r="H49" s="1">
        <f t="shared" si="0"/>
        <v>6.5</v>
      </c>
    </row>
    <row r="50" spans="1:8" x14ac:dyDescent="0.25">
      <c r="A50">
        <v>2019</v>
      </c>
      <c r="B50" s="1">
        <v>0</v>
      </c>
      <c r="C50" s="1">
        <v>0</v>
      </c>
      <c r="D50" s="1">
        <v>0</v>
      </c>
      <c r="E50" s="1">
        <v>12</v>
      </c>
      <c r="F50" s="1">
        <v>0</v>
      </c>
      <c r="G50" s="1">
        <v>0</v>
      </c>
      <c r="H50" s="1">
        <f t="shared" si="0"/>
        <v>2</v>
      </c>
    </row>
    <row r="51" spans="1:8" x14ac:dyDescent="0.25">
      <c r="A51">
        <v>2020</v>
      </c>
      <c r="B51" s="1">
        <v>8</v>
      </c>
      <c r="C51" s="1">
        <v>23</v>
      </c>
      <c r="D51" s="1">
        <v>0</v>
      </c>
      <c r="E51" s="1">
        <v>8</v>
      </c>
      <c r="F51" s="1">
        <v>13</v>
      </c>
      <c r="G51" s="1">
        <v>0</v>
      </c>
      <c r="H51" s="1">
        <f t="shared" si="0"/>
        <v>8.6666666666666661</v>
      </c>
    </row>
    <row r="52" spans="1:8" x14ac:dyDescent="0.25">
      <c r="A52">
        <v>2021</v>
      </c>
      <c r="B52" s="1">
        <v>0</v>
      </c>
      <c r="C52" s="1">
        <v>3</v>
      </c>
      <c r="D52" s="1">
        <v>0</v>
      </c>
      <c r="E52" s="1">
        <v>0</v>
      </c>
      <c r="F52" s="1">
        <v>0</v>
      </c>
      <c r="G52" s="1">
        <v>0</v>
      </c>
      <c r="H52" s="1">
        <f t="shared" si="0"/>
        <v>0.5</v>
      </c>
    </row>
    <row r="53" spans="1:8" x14ac:dyDescent="0.25">
      <c r="A53">
        <v>2022</v>
      </c>
      <c r="B53" s="1">
        <v>0</v>
      </c>
      <c r="C53" s="1">
        <v>0</v>
      </c>
      <c r="D53" s="1">
        <v>0</v>
      </c>
      <c r="E53" s="1">
        <v>8</v>
      </c>
      <c r="F53" s="1">
        <v>0</v>
      </c>
      <c r="G53" s="1">
        <v>0</v>
      </c>
      <c r="H53" s="1">
        <f t="shared" si="0"/>
        <v>1.3333333333333333</v>
      </c>
    </row>
    <row r="54" spans="1:8" x14ac:dyDescent="0.25">
      <c r="A54">
        <v>2023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f t="shared" si="0"/>
        <v>0</v>
      </c>
    </row>
    <row r="55" spans="1:8" x14ac:dyDescent="0.25">
      <c r="A55">
        <v>2024</v>
      </c>
      <c r="B55" s="1">
        <v>8</v>
      </c>
      <c r="C55" s="1">
        <v>0</v>
      </c>
      <c r="D55" s="1">
        <v>0</v>
      </c>
      <c r="E55" s="1">
        <v>0</v>
      </c>
      <c r="F55" s="1">
        <v>13</v>
      </c>
      <c r="G55" s="1">
        <v>0</v>
      </c>
      <c r="H55" s="1">
        <f t="shared" si="0"/>
        <v>3.5</v>
      </c>
    </row>
    <row r="56" spans="1:8" x14ac:dyDescent="0.25">
      <c r="A56">
        <v>2025</v>
      </c>
      <c r="B56" s="1">
        <v>0</v>
      </c>
      <c r="C56" s="1">
        <v>3</v>
      </c>
      <c r="D56" s="1">
        <v>16</v>
      </c>
      <c r="E56" s="1">
        <v>24</v>
      </c>
      <c r="F56" s="1">
        <v>21</v>
      </c>
      <c r="G56" s="1">
        <v>0</v>
      </c>
      <c r="H56" s="1">
        <f t="shared" si="0"/>
        <v>10.666666666666666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6"/>
  <sheetViews>
    <sheetView topLeftCell="C1" workbookViewId="0">
      <selection activeCell="T37" sqref="T33:T37"/>
    </sheetView>
  </sheetViews>
  <sheetFormatPr defaultRowHeight="15" x14ac:dyDescent="0.25"/>
  <sheetData>
    <row r="1" spans="1:17" ht="75" x14ac:dyDescent="0.25">
      <c r="B1" t="s">
        <v>122</v>
      </c>
      <c r="C1" t="s">
        <v>169</v>
      </c>
      <c r="D1" t="s">
        <v>170</v>
      </c>
      <c r="E1" t="s">
        <v>171</v>
      </c>
      <c r="F1" t="s">
        <v>172</v>
      </c>
      <c r="G1" t="s">
        <v>173</v>
      </c>
      <c r="H1" t="s">
        <v>174</v>
      </c>
      <c r="I1" t="s">
        <v>175</v>
      </c>
      <c r="J1" t="s">
        <v>176</v>
      </c>
      <c r="K1" t="s">
        <v>147</v>
      </c>
      <c r="L1" t="s">
        <v>177</v>
      </c>
      <c r="M1" t="s">
        <v>178</v>
      </c>
      <c r="N1" t="s">
        <v>179</v>
      </c>
      <c r="O1" t="s">
        <v>180</v>
      </c>
      <c r="P1" t="s">
        <v>181</v>
      </c>
      <c r="Q1" s="3" t="s">
        <v>213</v>
      </c>
    </row>
    <row r="2" spans="1:17" x14ac:dyDescent="0.25">
      <c r="A2">
        <v>1971</v>
      </c>
      <c r="B2" s="1">
        <v>73</v>
      </c>
      <c r="C2" s="1">
        <v>0</v>
      </c>
      <c r="D2" s="1">
        <v>106</v>
      </c>
      <c r="E2" s="1">
        <v>17</v>
      </c>
      <c r="F2" s="1">
        <v>75</v>
      </c>
      <c r="G2" s="1">
        <v>50</v>
      </c>
      <c r="H2" s="1">
        <v>0</v>
      </c>
      <c r="I2" s="1">
        <v>28</v>
      </c>
      <c r="J2" s="1">
        <v>47</v>
      </c>
      <c r="K2" s="1">
        <v>31</v>
      </c>
      <c r="L2" s="1">
        <v>31</v>
      </c>
      <c r="M2" s="1">
        <v>32</v>
      </c>
      <c r="N2" s="1">
        <v>99</v>
      </c>
      <c r="O2" s="1">
        <v>81</v>
      </c>
      <c r="P2" s="1">
        <v>64</v>
      </c>
      <c r="Q2" s="1">
        <f>AVERAGE(B2:P2)</f>
        <v>48.93333333333333</v>
      </c>
    </row>
    <row r="3" spans="1:17" x14ac:dyDescent="0.25">
      <c r="A3">
        <v>1972</v>
      </c>
      <c r="B3" s="1">
        <v>67</v>
      </c>
      <c r="C3" s="1">
        <v>30</v>
      </c>
      <c r="D3" s="1">
        <v>92</v>
      </c>
      <c r="E3" s="1">
        <v>38</v>
      </c>
      <c r="F3" s="1">
        <v>43</v>
      </c>
      <c r="G3" s="1">
        <v>31</v>
      </c>
      <c r="H3" s="1">
        <v>0</v>
      </c>
      <c r="I3" s="1">
        <v>30</v>
      </c>
      <c r="J3" s="1">
        <v>37</v>
      </c>
      <c r="K3" s="1">
        <v>34</v>
      </c>
      <c r="L3" s="1">
        <v>25</v>
      </c>
      <c r="M3" s="1">
        <v>58</v>
      </c>
      <c r="N3" s="1">
        <v>106</v>
      </c>
      <c r="O3" s="1">
        <v>88</v>
      </c>
      <c r="P3" s="1">
        <v>55</v>
      </c>
      <c r="Q3" s="1">
        <f t="shared" ref="Q3:Q56" si="0">AVERAGE(B3:P3)</f>
        <v>48.93333333333333</v>
      </c>
    </row>
    <row r="4" spans="1:17" x14ac:dyDescent="0.25">
      <c r="A4">
        <v>1973</v>
      </c>
      <c r="B4" s="1">
        <v>85</v>
      </c>
      <c r="C4" s="1">
        <v>40</v>
      </c>
      <c r="D4" s="1">
        <v>95</v>
      </c>
      <c r="E4" s="1">
        <v>33</v>
      </c>
      <c r="F4" s="1">
        <v>67</v>
      </c>
      <c r="G4" s="1">
        <v>67</v>
      </c>
      <c r="H4" s="1">
        <v>0</v>
      </c>
      <c r="I4" s="1">
        <v>92</v>
      </c>
      <c r="J4" s="1">
        <v>57</v>
      </c>
      <c r="K4" s="1">
        <v>41</v>
      </c>
      <c r="L4" s="1">
        <v>44</v>
      </c>
      <c r="M4" s="1">
        <v>55</v>
      </c>
      <c r="N4" s="1">
        <v>105</v>
      </c>
      <c r="O4" s="1">
        <v>136</v>
      </c>
      <c r="P4" s="1">
        <v>109</v>
      </c>
      <c r="Q4" s="1">
        <f t="shared" si="0"/>
        <v>68.400000000000006</v>
      </c>
    </row>
    <row r="5" spans="1:17" x14ac:dyDescent="0.25">
      <c r="A5">
        <v>1974</v>
      </c>
      <c r="B5" s="1">
        <v>122</v>
      </c>
      <c r="C5" s="1">
        <v>40</v>
      </c>
      <c r="D5" s="1">
        <v>106</v>
      </c>
      <c r="E5" s="1">
        <v>21</v>
      </c>
      <c r="F5" s="1">
        <v>67</v>
      </c>
      <c r="G5" s="1">
        <v>72</v>
      </c>
      <c r="H5" s="1">
        <v>0</v>
      </c>
      <c r="I5" s="1">
        <v>38</v>
      </c>
      <c r="J5" s="1">
        <v>50</v>
      </c>
      <c r="K5" s="1">
        <v>43</v>
      </c>
      <c r="L5" s="1">
        <v>46</v>
      </c>
      <c r="M5" s="1">
        <v>40</v>
      </c>
      <c r="N5" s="1">
        <v>78</v>
      </c>
      <c r="O5" s="1">
        <v>85</v>
      </c>
      <c r="P5" s="1">
        <v>78</v>
      </c>
      <c r="Q5" s="1">
        <f t="shared" si="0"/>
        <v>59.06666666666667</v>
      </c>
    </row>
    <row r="6" spans="1:17" x14ac:dyDescent="0.25">
      <c r="A6">
        <v>1975</v>
      </c>
      <c r="B6" s="1">
        <v>79</v>
      </c>
      <c r="C6" s="1">
        <v>0</v>
      </c>
      <c r="D6" s="1">
        <v>78</v>
      </c>
      <c r="E6" s="1">
        <v>24</v>
      </c>
      <c r="F6" s="1">
        <v>63</v>
      </c>
      <c r="G6" s="1">
        <v>71</v>
      </c>
      <c r="H6" s="1">
        <v>0</v>
      </c>
      <c r="I6" s="1">
        <v>51</v>
      </c>
      <c r="J6" s="1">
        <v>48</v>
      </c>
      <c r="K6" s="1">
        <v>54</v>
      </c>
      <c r="L6" s="1">
        <v>42</v>
      </c>
      <c r="M6" s="1">
        <v>47</v>
      </c>
      <c r="N6" s="1">
        <v>88</v>
      </c>
      <c r="O6" s="1">
        <v>84</v>
      </c>
      <c r="P6" s="1">
        <v>60</v>
      </c>
      <c r="Q6" s="1">
        <f t="shared" si="0"/>
        <v>52.6</v>
      </c>
    </row>
    <row r="7" spans="1:17" x14ac:dyDescent="0.25">
      <c r="A7">
        <v>1976</v>
      </c>
      <c r="B7" s="1">
        <v>61</v>
      </c>
      <c r="C7" s="1">
        <v>13</v>
      </c>
      <c r="D7" s="1">
        <v>58</v>
      </c>
      <c r="E7" s="1">
        <v>11</v>
      </c>
      <c r="F7" s="1">
        <v>45</v>
      </c>
      <c r="G7" s="1">
        <v>51</v>
      </c>
      <c r="H7" s="1">
        <v>0</v>
      </c>
      <c r="I7" s="1">
        <v>36</v>
      </c>
      <c r="J7" s="1">
        <v>60</v>
      </c>
      <c r="K7" s="1">
        <v>31</v>
      </c>
      <c r="L7" s="1">
        <v>30</v>
      </c>
      <c r="M7" s="1">
        <v>39</v>
      </c>
      <c r="N7" s="1">
        <v>88</v>
      </c>
      <c r="O7" s="1">
        <v>86</v>
      </c>
      <c r="P7" s="1">
        <v>75</v>
      </c>
      <c r="Q7" s="1">
        <f t="shared" si="0"/>
        <v>45.6</v>
      </c>
    </row>
    <row r="8" spans="1:17" x14ac:dyDescent="0.25">
      <c r="A8">
        <v>1977</v>
      </c>
      <c r="B8" s="1">
        <v>99</v>
      </c>
      <c r="C8" s="1">
        <v>32</v>
      </c>
      <c r="D8" s="1">
        <v>99</v>
      </c>
      <c r="E8" s="1">
        <v>28</v>
      </c>
      <c r="F8" s="1">
        <v>68</v>
      </c>
      <c r="G8" s="1">
        <v>99</v>
      </c>
      <c r="H8" s="1">
        <v>0</v>
      </c>
      <c r="I8" s="1">
        <v>94</v>
      </c>
      <c r="J8" s="1">
        <v>76</v>
      </c>
      <c r="K8" s="1">
        <v>52</v>
      </c>
      <c r="L8" s="1">
        <v>86</v>
      </c>
      <c r="M8" s="1">
        <v>82</v>
      </c>
      <c r="N8" s="1">
        <v>96</v>
      </c>
      <c r="O8" s="1">
        <v>114</v>
      </c>
      <c r="P8" s="1">
        <v>112</v>
      </c>
      <c r="Q8" s="1">
        <f t="shared" si="0"/>
        <v>75.8</v>
      </c>
    </row>
    <row r="9" spans="1:17" x14ac:dyDescent="0.25">
      <c r="A9">
        <v>1978</v>
      </c>
      <c r="B9" s="1">
        <v>0</v>
      </c>
      <c r="C9" s="1">
        <v>36</v>
      </c>
      <c r="D9" s="1">
        <v>52.5</v>
      </c>
      <c r="E9" s="1">
        <v>9</v>
      </c>
      <c r="F9" s="1">
        <v>48</v>
      </c>
      <c r="G9" s="1">
        <v>30.8</v>
      </c>
      <c r="H9" s="1">
        <v>38</v>
      </c>
      <c r="I9" s="1">
        <v>67.2</v>
      </c>
      <c r="J9" s="1">
        <v>59.8</v>
      </c>
      <c r="K9" s="1">
        <v>17.5</v>
      </c>
      <c r="L9" s="1">
        <v>45</v>
      </c>
      <c r="M9" s="1">
        <v>46.8</v>
      </c>
      <c r="N9" s="1">
        <v>96.1</v>
      </c>
      <c r="O9" s="1">
        <v>102.5</v>
      </c>
      <c r="P9" s="1">
        <v>67.5</v>
      </c>
      <c r="Q9" s="1">
        <f t="shared" si="0"/>
        <v>47.78</v>
      </c>
    </row>
    <row r="10" spans="1:17" x14ac:dyDescent="0.25">
      <c r="A10">
        <v>1979</v>
      </c>
      <c r="B10" s="1">
        <v>0</v>
      </c>
      <c r="C10" s="1">
        <v>25.6</v>
      </c>
      <c r="D10" s="1">
        <v>87</v>
      </c>
      <c r="E10" s="1">
        <v>38.44</v>
      </c>
      <c r="F10" s="1">
        <v>60.5</v>
      </c>
      <c r="G10" s="1">
        <v>56</v>
      </c>
      <c r="H10" s="1">
        <v>67</v>
      </c>
      <c r="I10" s="1">
        <v>60</v>
      </c>
      <c r="J10" s="1">
        <v>50.6</v>
      </c>
      <c r="K10" s="1">
        <v>32.4</v>
      </c>
      <c r="L10" s="1">
        <v>50.03</v>
      </c>
      <c r="M10" s="1">
        <v>41.6</v>
      </c>
      <c r="N10" s="1">
        <v>105.4</v>
      </c>
      <c r="O10" s="1">
        <v>113.4</v>
      </c>
      <c r="P10" s="1">
        <v>78.3</v>
      </c>
      <c r="Q10" s="1">
        <f t="shared" si="0"/>
        <v>57.751333333333328</v>
      </c>
    </row>
    <row r="11" spans="1:17" x14ac:dyDescent="0.25">
      <c r="A11">
        <v>1980</v>
      </c>
      <c r="B11" s="1">
        <v>14.4</v>
      </c>
      <c r="C11" s="1">
        <v>18.899999999999999</v>
      </c>
      <c r="D11" s="1">
        <v>55</v>
      </c>
      <c r="E11" s="1">
        <v>14</v>
      </c>
      <c r="F11" s="1">
        <v>35.1</v>
      </c>
      <c r="G11" s="1">
        <v>22.18</v>
      </c>
      <c r="H11" s="1">
        <v>38</v>
      </c>
      <c r="I11" s="1">
        <v>13.36</v>
      </c>
      <c r="J11" s="1">
        <v>27.5</v>
      </c>
      <c r="K11" s="1">
        <v>33</v>
      </c>
      <c r="L11" s="1">
        <v>20.190000000000001</v>
      </c>
      <c r="M11" s="1">
        <v>20.93</v>
      </c>
      <c r="N11" s="1">
        <v>68</v>
      </c>
      <c r="O11" s="1">
        <v>37.54</v>
      </c>
      <c r="P11" s="1">
        <v>28.8</v>
      </c>
      <c r="Q11" s="1">
        <f t="shared" si="0"/>
        <v>29.793333333333337</v>
      </c>
    </row>
    <row r="12" spans="1:17" x14ac:dyDescent="0.25">
      <c r="A12">
        <v>1981</v>
      </c>
      <c r="B12" s="1">
        <v>0</v>
      </c>
      <c r="C12" s="1">
        <v>32.4</v>
      </c>
      <c r="D12" s="1">
        <v>37.799999999999997</v>
      </c>
      <c r="E12" s="1">
        <v>22</v>
      </c>
      <c r="F12" s="1">
        <v>46.8</v>
      </c>
      <c r="G12" s="1">
        <v>24.3</v>
      </c>
      <c r="H12" s="1">
        <v>35</v>
      </c>
      <c r="I12" s="1">
        <v>42</v>
      </c>
      <c r="J12" s="1">
        <v>43.2</v>
      </c>
      <c r="K12" s="1">
        <v>37.5</v>
      </c>
      <c r="L12" s="1">
        <v>26.6</v>
      </c>
      <c r="M12" s="1">
        <v>30</v>
      </c>
      <c r="N12" s="1">
        <v>92</v>
      </c>
      <c r="O12" s="1">
        <v>56.08</v>
      </c>
      <c r="P12" s="1">
        <v>41.8</v>
      </c>
      <c r="Q12" s="1">
        <f t="shared" si="0"/>
        <v>37.832000000000001</v>
      </c>
    </row>
    <row r="13" spans="1:17" x14ac:dyDescent="0.25">
      <c r="A13">
        <v>1982</v>
      </c>
      <c r="B13" s="1">
        <v>0</v>
      </c>
      <c r="C13" s="1">
        <v>45</v>
      </c>
      <c r="D13" s="1">
        <v>64</v>
      </c>
      <c r="E13" s="1">
        <v>25.2</v>
      </c>
      <c r="F13" s="1">
        <v>64.599999999999994</v>
      </c>
      <c r="G13" s="1">
        <v>75.599999999999994</v>
      </c>
      <c r="H13" s="1">
        <v>68</v>
      </c>
      <c r="I13" s="1">
        <v>63</v>
      </c>
      <c r="J13" s="1">
        <v>45</v>
      </c>
      <c r="K13" s="1">
        <v>35.200000000000003</v>
      </c>
      <c r="L13" s="1">
        <v>50</v>
      </c>
      <c r="M13" s="1">
        <v>37.4</v>
      </c>
      <c r="N13" s="1">
        <v>80.5</v>
      </c>
      <c r="O13" s="1">
        <v>91.01</v>
      </c>
      <c r="P13" s="1">
        <v>85</v>
      </c>
      <c r="Q13" s="1">
        <f t="shared" si="0"/>
        <v>55.300666666666658</v>
      </c>
    </row>
    <row r="14" spans="1:17" x14ac:dyDescent="0.25">
      <c r="A14">
        <v>1983</v>
      </c>
      <c r="B14" s="1">
        <v>63.8</v>
      </c>
      <c r="C14" s="1">
        <v>31.2</v>
      </c>
      <c r="D14" s="1">
        <v>70.400000000000006</v>
      </c>
      <c r="E14" s="1">
        <v>26</v>
      </c>
      <c r="F14" s="1">
        <v>79.8</v>
      </c>
      <c r="G14" s="1">
        <v>71.3</v>
      </c>
      <c r="H14" s="1">
        <v>47</v>
      </c>
      <c r="I14" s="1">
        <v>88.4</v>
      </c>
      <c r="J14" s="1">
        <v>99.2</v>
      </c>
      <c r="K14" s="1">
        <v>45</v>
      </c>
      <c r="L14" s="1">
        <v>56.7</v>
      </c>
      <c r="M14" s="1">
        <v>69</v>
      </c>
      <c r="N14" s="1">
        <v>122.1</v>
      </c>
      <c r="O14" s="1">
        <v>75.599999999999994</v>
      </c>
      <c r="P14" s="1">
        <v>93.6</v>
      </c>
      <c r="Q14" s="1">
        <f t="shared" si="0"/>
        <v>69.273333333333341</v>
      </c>
    </row>
    <row r="15" spans="1:17" x14ac:dyDescent="0.25">
      <c r="A15">
        <v>1984</v>
      </c>
      <c r="B15" s="1">
        <v>24</v>
      </c>
      <c r="C15" s="1">
        <v>32</v>
      </c>
      <c r="D15" s="1">
        <v>40.5</v>
      </c>
      <c r="E15" s="1">
        <v>18.399999999999999</v>
      </c>
      <c r="F15" s="1">
        <v>28.8</v>
      </c>
      <c r="G15" s="1">
        <v>32.200000000000003</v>
      </c>
      <c r="H15" s="1">
        <v>10</v>
      </c>
      <c r="I15" s="1">
        <v>20.7</v>
      </c>
      <c r="J15" s="1">
        <v>52.8</v>
      </c>
      <c r="K15" s="1">
        <v>21</v>
      </c>
      <c r="L15" s="1">
        <v>32</v>
      </c>
      <c r="M15" s="1">
        <v>20</v>
      </c>
      <c r="N15" s="1">
        <v>72</v>
      </c>
      <c r="O15" s="1">
        <v>55</v>
      </c>
      <c r="P15" s="1">
        <v>39.6</v>
      </c>
      <c r="Q15" s="1">
        <f t="shared" si="0"/>
        <v>33.266666666666673</v>
      </c>
    </row>
    <row r="16" spans="1:17" x14ac:dyDescent="0.25">
      <c r="A16">
        <v>1985</v>
      </c>
      <c r="B16" s="1">
        <v>105.6</v>
      </c>
      <c r="C16" s="1">
        <v>62.5</v>
      </c>
      <c r="D16" s="1">
        <v>112.2</v>
      </c>
      <c r="E16" s="1">
        <v>27.6</v>
      </c>
      <c r="F16" s="1">
        <v>183.6</v>
      </c>
      <c r="G16" s="1">
        <v>93</v>
      </c>
      <c r="H16" s="1">
        <v>38</v>
      </c>
      <c r="I16" s="1">
        <v>46.92</v>
      </c>
      <c r="J16" s="1">
        <v>78.3</v>
      </c>
      <c r="K16" s="1">
        <v>57</v>
      </c>
      <c r="L16" s="1">
        <v>72</v>
      </c>
      <c r="M16" s="1">
        <v>71</v>
      </c>
      <c r="N16" s="1">
        <v>117.6</v>
      </c>
      <c r="O16" s="1">
        <v>102.4</v>
      </c>
      <c r="P16" s="1">
        <v>75</v>
      </c>
      <c r="Q16" s="1">
        <f t="shared" si="0"/>
        <v>82.847999999999999</v>
      </c>
    </row>
    <row r="17" spans="1:17" x14ac:dyDescent="0.25">
      <c r="A17">
        <v>1986</v>
      </c>
      <c r="B17" s="1">
        <v>66</v>
      </c>
      <c r="C17" s="1">
        <v>63</v>
      </c>
      <c r="D17" s="1">
        <v>129</v>
      </c>
      <c r="E17" s="1">
        <v>29</v>
      </c>
      <c r="F17" s="1">
        <v>81</v>
      </c>
      <c r="G17" s="1">
        <v>72</v>
      </c>
      <c r="H17" s="1">
        <v>36</v>
      </c>
      <c r="I17" s="1">
        <v>68</v>
      </c>
      <c r="J17" s="1">
        <v>75</v>
      </c>
      <c r="K17" s="1">
        <v>57</v>
      </c>
      <c r="L17" s="1">
        <v>53</v>
      </c>
      <c r="M17" s="1">
        <v>56</v>
      </c>
      <c r="N17" s="1">
        <v>92</v>
      </c>
      <c r="O17" s="1">
        <v>103</v>
      </c>
      <c r="P17" s="1">
        <v>87</v>
      </c>
      <c r="Q17" s="1">
        <f t="shared" si="0"/>
        <v>71.13333333333334</v>
      </c>
    </row>
    <row r="18" spans="1:17" x14ac:dyDescent="0.25">
      <c r="A18">
        <v>1987</v>
      </c>
      <c r="B18" s="1">
        <v>64</v>
      </c>
      <c r="C18" s="1">
        <v>26</v>
      </c>
      <c r="D18" s="1">
        <v>56</v>
      </c>
      <c r="E18" s="1">
        <v>33</v>
      </c>
      <c r="F18" s="1">
        <v>75</v>
      </c>
      <c r="G18" s="1">
        <v>78</v>
      </c>
      <c r="H18" s="1">
        <v>46</v>
      </c>
      <c r="I18" s="1">
        <v>45</v>
      </c>
      <c r="J18" s="1">
        <v>78</v>
      </c>
      <c r="K18" s="1">
        <v>52</v>
      </c>
      <c r="L18" s="1">
        <v>48</v>
      </c>
      <c r="M18" s="1">
        <v>70</v>
      </c>
      <c r="N18" s="1">
        <v>90</v>
      </c>
      <c r="O18" s="1">
        <v>104</v>
      </c>
      <c r="P18" s="1">
        <v>65</v>
      </c>
      <c r="Q18" s="1">
        <f t="shared" si="0"/>
        <v>62</v>
      </c>
    </row>
    <row r="19" spans="1:17" x14ac:dyDescent="0.25">
      <c r="A19">
        <v>1988</v>
      </c>
      <c r="B19" s="1">
        <v>69</v>
      </c>
      <c r="C19" s="1">
        <v>37</v>
      </c>
      <c r="D19" s="1">
        <v>86</v>
      </c>
      <c r="E19" s="1">
        <v>26</v>
      </c>
      <c r="F19" s="1">
        <v>130</v>
      </c>
      <c r="G19" s="1">
        <v>73</v>
      </c>
      <c r="H19" s="1">
        <v>48</v>
      </c>
      <c r="I19" s="1">
        <v>64</v>
      </c>
      <c r="J19" s="1">
        <v>81</v>
      </c>
      <c r="K19" s="1">
        <v>50</v>
      </c>
      <c r="L19" s="1">
        <v>43</v>
      </c>
      <c r="M19" s="1">
        <v>65</v>
      </c>
      <c r="N19" s="1">
        <v>89</v>
      </c>
      <c r="O19" s="1">
        <v>99</v>
      </c>
      <c r="P19" s="1">
        <v>65</v>
      </c>
      <c r="Q19" s="1">
        <f t="shared" si="0"/>
        <v>68.333333333333329</v>
      </c>
    </row>
    <row r="20" spans="1:17" x14ac:dyDescent="0.25">
      <c r="A20">
        <v>1989</v>
      </c>
      <c r="B20" s="1">
        <v>24</v>
      </c>
      <c r="C20" s="1">
        <v>28</v>
      </c>
      <c r="D20" s="1">
        <v>50</v>
      </c>
      <c r="E20" s="1">
        <v>10</v>
      </c>
      <c r="F20" s="1">
        <v>52</v>
      </c>
      <c r="G20" s="1">
        <v>59</v>
      </c>
      <c r="H20" s="1">
        <v>14</v>
      </c>
      <c r="I20" s="1">
        <v>40</v>
      </c>
      <c r="J20" s="1">
        <v>36</v>
      </c>
      <c r="K20" s="1">
        <v>34</v>
      </c>
      <c r="L20" s="1">
        <v>22</v>
      </c>
      <c r="M20" s="1">
        <v>20</v>
      </c>
      <c r="N20" s="1">
        <v>70</v>
      </c>
      <c r="O20" s="1">
        <v>75</v>
      </c>
      <c r="P20" s="1">
        <v>47</v>
      </c>
      <c r="Q20" s="1">
        <f t="shared" si="0"/>
        <v>38.733333333333334</v>
      </c>
    </row>
    <row r="21" spans="1:17" x14ac:dyDescent="0.25">
      <c r="A21">
        <v>1990</v>
      </c>
      <c r="B21" s="1">
        <v>76</v>
      </c>
      <c r="C21" s="1">
        <v>26</v>
      </c>
      <c r="D21" s="1">
        <v>112</v>
      </c>
      <c r="E21" s="1">
        <v>32</v>
      </c>
      <c r="F21" s="1">
        <v>168</v>
      </c>
      <c r="G21" s="1">
        <v>72</v>
      </c>
      <c r="H21" s="1">
        <v>35</v>
      </c>
      <c r="I21" s="1">
        <v>50</v>
      </c>
      <c r="J21" s="1">
        <v>65</v>
      </c>
      <c r="K21" s="1">
        <v>43</v>
      </c>
      <c r="L21" s="1">
        <v>72</v>
      </c>
      <c r="M21" s="1">
        <v>61</v>
      </c>
      <c r="N21" s="1">
        <v>79</v>
      </c>
      <c r="O21" s="1">
        <v>82</v>
      </c>
      <c r="P21" s="1">
        <v>90</v>
      </c>
      <c r="Q21" s="1">
        <f t="shared" si="0"/>
        <v>70.86666666666666</v>
      </c>
    </row>
    <row r="22" spans="1:17" x14ac:dyDescent="0.25">
      <c r="A22">
        <v>1991</v>
      </c>
      <c r="B22" s="1">
        <v>39</v>
      </c>
      <c r="C22" s="1">
        <v>16</v>
      </c>
      <c r="D22" s="1">
        <v>63</v>
      </c>
      <c r="E22" s="1">
        <v>41</v>
      </c>
      <c r="F22" s="1">
        <v>101</v>
      </c>
      <c r="G22" s="1">
        <v>42</v>
      </c>
      <c r="H22" s="1">
        <v>85</v>
      </c>
      <c r="I22" s="1">
        <v>48</v>
      </c>
      <c r="J22" s="1">
        <v>62</v>
      </c>
      <c r="K22" s="1">
        <v>44</v>
      </c>
      <c r="L22" s="1">
        <v>65</v>
      </c>
      <c r="M22" s="1">
        <v>41</v>
      </c>
      <c r="N22" s="1">
        <v>43</v>
      </c>
      <c r="O22" s="1">
        <v>92</v>
      </c>
      <c r="P22" s="1">
        <v>119</v>
      </c>
      <c r="Q22" s="1">
        <f t="shared" si="0"/>
        <v>60.06666666666667</v>
      </c>
    </row>
    <row r="23" spans="1:17" x14ac:dyDescent="0.25">
      <c r="A23">
        <v>1992</v>
      </c>
      <c r="B23" s="1">
        <v>78</v>
      </c>
      <c r="C23" s="1">
        <v>23</v>
      </c>
      <c r="D23" s="1">
        <v>80</v>
      </c>
      <c r="E23" s="1">
        <v>43</v>
      </c>
      <c r="F23" s="1">
        <v>104</v>
      </c>
      <c r="G23" s="1">
        <v>65</v>
      </c>
      <c r="H23" s="1">
        <v>61</v>
      </c>
      <c r="I23" s="1">
        <v>48</v>
      </c>
      <c r="J23" s="1">
        <v>93</v>
      </c>
      <c r="K23" s="1">
        <v>46</v>
      </c>
      <c r="L23" s="1">
        <v>52</v>
      </c>
      <c r="M23" s="1">
        <v>49</v>
      </c>
      <c r="N23" s="1">
        <v>108</v>
      </c>
      <c r="O23" s="1">
        <v>96</v>
      </c>
      <c r="P23" s="1">
        <v>85</v>
      </c>
      <c r="Q23" s="1">
        <f t="shared" si="0"/>
        <v>68.733333333333334</v>
      </c>
    </row>
    <row r="24" spans="1:17" x14ac:dyDescent="0.25">
      <c r="A24">
        <v>1993</v>
      </c>
      <c r="B24" s="1">
        <v>40</v>
      </c>
      <c r="C24" s="1">
        <v>23</v>
      </c>
      <c r="D24" s="1">
        <v>18</v>
      </c>
      <c r="E24" s="1">
        <v>21</v>
      </c>
      <c r="F24" s="1">
        <v>29</v>
      </c>
      <c r="G24" s="1">
        <v>28</v>
      </c>
      <c r="H24" s="1">
        <v>37</v>
      </c>
      <c r="I24" s="1">
        <v>51</v>
      </c>
      <c r="J24" s="1">
        <v>52</v>
      </c>
      <c r="K24" s="1">
        <v>39</v>
      </c>
      <c r="L24" s="1">
        <v>52</v>
      </c>
      <c r="M24" s="1">
        <v>63</v>
      </c>
      <c r="N24" s="1">
        <v>46</v>
      </c>
      <c r="O24" s="1">
        <v>122</v>
      </c>
      <c r="P24" s="1">
        <v>53</v>
      </c>
      <c r="Q24" s="1">
        <f t="shared" si="0"/>
        <v>44.93333333333333</v>
      </c>
    </row>
    <row r="25" spans="1:17" x14ac:dyDescent="0.25">
      <c r="A25">
        <v>1994</v>
      </c>
      <c r="B25" s="1">
        <v>48</v>
      </c>
      <c r="C25" s="1">
        <v>28</v>
      </c>
      <c r="D25" s="1">
        <v>45</v>
      </c>
      <c r="E25" s="1">
        <v>24</v>
      </c>
      <c r="F25" s="1">
        <v>71</v>
      </c>
      <c r="G25" s="1">
        <v>57</v>
      </c>
      <c r="H25" s="1">
        <v>46</v>
      </c>
      <c r="I25" s="1">
        <v>53</v>
      </c>
      <c r="J25" s="1">
        <v>65</v>
      </c>
      <c r="K25" s="1">
        <v>35</v>
      </c>
      <c r="L25" s="1">
        <v>39</v>
      </c>
      <c r="M25" s="1">
        <v>53</v>
      </c>
      <c r="N25" s="1">
        <v>73</v>
      </c>
      <c r="O25" s="1">
        <v>87</v>
      </c>
      <c r="P25" s="1">
        <v>96</v>
      </c>
      <c r="Q25" s="1">
        <f t="shared" si="0"/>
        <v>54.666666666666664</v>
      </c>
    </row>
    <row r="26" spans="1:17" x14ac:dyDescent="0.25">
      <c r="A26">
        <v>1995</v>
      </c>
      <c r="B26" s="1">
        <v>45</v>
      </c>
      <c r="C26" s="1">
        <v>30</v>
      </c>
      <c r="D26" s="1">
        <v>46</v>
      </c>
      <c r="E26" s="1">
        <v>17</v>
      </c>
      <c r="F26" s="1">
        <v>82</v>
      </c>
      <c r="G26" s="1">
        <v>57</v>
      </c>
      <c r="H26" s="1">
        <v>31</v>
      </c>
      <c r="I26" s="1">
        <v>35</v>
      </c>
      <c r="J26" s="1">
        <v>65</v>
      </c>
      <c r="K26" s="1">
        <v>49</v>
      </c>
      <c r="L26" s="1">
        <v>35</v>
      </c>
      <c r="M26" s="1">
        <v>38</v>
      </c>
      <c r="N26" s="1">
        <v>54</v>
      </c>
      <c r="O26" s="1">
        <v>56</v>
      </c>
      <c r="P26" s="1">
        <v>73</v>
      </c>
      <c r="Q26" s="1">
        <f t="shared" si="0"/>
        <v>47.533333333333331</v>
      </c>
    </row>
    <row r="27" spans="1:17" x14ac:dyDescent="0.25">
      <c r="A27">
        <v>1996</v>
      </c>
      <c r="B27" s="1">
        <v>48</v>
      </c>
      <c r="C27" s="1">
        <v>68</v>
      </c>
      <c r="D27" s="1">
        <v>55</v>
      </c>
      <c r="E27" s="1">
        <v>46</v>
      </c>
      <c r="F27" s="1">
        <v>57</v>
      </c>
      <c r="G27" s="1">
        <v>57</v>
      </c>
      <c r="H27" s="1">
        <v>64</v>
      </c>
      <c r="I27" s="1">
        <v>49</v>
      </c>
      <c r="J27" s="1">
        <v>88</v>
      </c>
      <c r="K27" s="1">
        <v>34</v>
      </c>
      <c r="L27" s="1">
        <v>54</v>
      </c>
      <c r="M27" s="1">
        <v>36</v>
      </c>
      <c r="N27" s="1">
        <v>59</v>
      </c>
      <c r="O27" s="1">
        <v>69</v>
      </c>
      <c r="P27" s="1">
        <v>62</v>
      </c>
      <c r="Q27" s="1">
        <f t="shared" si="0"/>
        <v>56.4</v>
      </c>
    </row>
    <row r="28" spans="1:17" x14ac:dyDescent="0.25">
      <c r="A28">
        <v>1997</v>
      </c>
      <c r="B28" s="1">
        <v>83</v>
      </c>
      <c r="C28" s="1">
        <v>13</v>
      </c>
      <c r="D28" s="1">
        <v>65</v>
      </c>
      <c r="E28" s="1">
        <v>13</v>
      </c>
      <c r="F28" s="1">
        <v>115</v>
      </c>
      <c r="G28" s="1">
        <v>59</v>
      </c>
      <c r="H28" s="1">
        <v>49</v>
      </c>
      <c r="I28" s="1">
        <v>42</v>
      </c>
      <c r="J28" s="1">
        <v>75</v>
      </c>
      <c r="K28" s="1">
        <v>50</v>
      </c>
      <c r="L28" s="1">
        <v>40</v>
      </c>
      <c r="M28" s="1">
        <v>65</v>
      </c>
      <c r="N28" s="1">
        <v>84</v>
      </c>
      <c r="O28" s="1">
        <v>81</v>
      </c>
      <c r="P28" s="1">
        <v>70</v>
      </c>
      <c r="Q28" s="1">
        <f t="shared" si="0"/>
        <v>60.266666666666666</v>
      </c>
    </row>
    <row r="29" spans="1:17" x14ac:dyDescent="0.25">
      <c r="A29">
        <v>1998</v>
      </c>
      <c r="B29" s="1">
        <v>39</v>
      </c>
      <c r="C29" s="1">
        <v>50</v>
      </c>
      <c r="D29" s="1">
        <v>49</v>
      </c>
      <c r="E29" s="1">
        <v>39</v>
      </c>
      <c r="F29" s="1">
        <v>40</v>
      </c>
      <c r="G29" s="1">
        <v>52</v>
      </c>
      <c r="H29" s="1">
        <v>70</v>
      </c>
      <c r="I29" s="1">
        <v>43</v>
      </c>
      <c r="J29" s="1">
        <v>34</v>
      </c>
      <c r="K29" s="1">
        <v>25</v>
      </c>
      <c r="L29" s="1">
        <v>54</v>
      </c>
      <c r="M29" s="1">
        <v>34</v>
      </c>
      <c r="N29" s="1">
        <v>42</v>
      </c>
      <c r="O29" s="1">
        <v>82</v>
      </c>
      <c r="P29" s="1">
        <v>53</v>
      </c>
      <c r="Q29" s="1">
        <f t="shared" si="0"/>
        <v>47.06666666666667</v>
      </c>
    </row>
    <row r="30" spans="1:17" x14ac:dyDescent="0.25">
      <c r="A30">
        <v>1999</v>
      </c>
      <c r="B30" s="1">
        <v>50</v>
      </c>
      <c r="C30" s="1">
        <v>28</v>
      </c>
      <c r="D30" s="1">
        <v>55</v>
      </c>
      <c r="E30" s="1">
        <v>44</v>
      </c>
      <c r="F30" s="1">
        <v>126</v>
      </c>
      <c r="G30" s="1">
        <v>48</v>
      </c>
      <c r="H30" s="1">
        <v>51</v>
      </c>
      <c r="I30" s="1">
        <v>45</v>
      </c>
      <c r="J30" s="1">
        <v>52</v>
      </c>
      <c r="K30" s="1">
        <v>53</v>
      </c>
      <c r="L30" s="1">
        <v>86</v>
      </c>
      <c r="M30" s="1">
        <v>53</v>
      </c>
      <c r="N30" s="1">
        <v>48</v>
      </c>
      <c r="O30" s="1">
        <v>87</v>
      </c>
      <c r="P30" s="1">
        <v>84</v>
      </c>
      <c r="Q30" s="1">
        <f t="shared" si="0"/>
        <v>60.666666666666664</v>
      </c>
    </row>
    <row r="31" spans="1:17" x14ac:dyDescent="0.25">
      <c r="A31">
        <v>2000</v>
      </c>
      <c r="B31" s="1">
        <v>58</v>
      </c>
      <c r="C31" s="1">
        <v>68</v>
      </c>
      <c r="D31" s="1">
        <v>55</v>
      </c>
      <c r="E31" s="1">
        <v>30</v>
      </c>
      <c r="F31" s="1">
        <v>73</v>
      </c>
      <c r="G31" s="1">
        <v>57</v>
      </c>
      <c r="H31" s="1">
        <v>78</v>
      </c>
      <c r="I31" s="1">
        <v>66</v>
      </c>
      <c r="J31" s="1">
        <v>78</v>
      </c>
      <c r="K31" s="1">
        <v>38</v>
      </c>
      <c r="L31" s="1">
        <v>61</v>
      </c>
      <c r="M31" s="1">
        <v>64</v>
      </c>
      <c r="N31" s="1">
        <v>68</v>
      </c>
      <c r="O31" s="1">
        <v>103</v>
      </c>
      <c r="P31" s="1">
        <v>83</v>
      </c>
      <c r="Q31" s="1">
        <f t="shared" si="0"/>
        <v>65.333333333333329</v>
      </c>
    </row>
    <row r="32" spans="1:17" x14ac:dyDescent="0.25">
      <c r="A32">
        <v>2001</v>
      </c>
      <c r="B32" s="1">
        <v>100</v>
      </c>
      <c r="C32" s="1">
        <v>61</v>
      </c>
      <c r="D32" s="1">
        <v>76</v>
      </c>
      <c r="E32" s="1">
        <v>49</v>
      </c>
      <c r="F32" s="1">
        <v>238</v>
      </c>
      <c r="G32" s="1">
        <v>60</v>
      </c>
      <c r="H32" s="1">
        <v>89</v>
      </c>
      <c r="I32" s="1">
        <v>99</v>
      </c>
      <c r="J32" s="1">
        <v>120</v>
      </c>
      <c r="K32" s="1">
        <v>172</v>
      </c>
      <c r="L32" s="1">
        <v>60</v>
      </c>
      <c r="M32" s="1">
        <v>84</v>
      </c>
      <c r="N32" s="1">
        <v>126</v>
      </c>
      <c r="O32" s="1">
        <v>136</v>
      </c>
      <c r="P32" s="1">
        <v>104</v>
      </c>
      <c r="Q32" s="1">
        <f t="shared" si="0"/>
        <v>104.93333333333334</v>
      </c>
    </row>
    <row r="33" spans="1:17" x14ac:dyDescent="0.25">
      <c r="A33">
        <v>2002</v>
      </c>
      <c r="B33" s="1">
        <v>19</v>
      </c>
      <c r="C33" s="1">
        <v>13</v>
      </c>
      <c r="D33" s="1">
        <v>45</v>
      </c>
      <c r="E33" s="1">
        <v>14</v>
      </c>
      <c r="F33" s="1">
        <v>40</v>
      </c>
      <c r="G33" s="1">
        <v>21</v>
      </c>
      <c r="H33" s="1">
        <v>8</v>
      </c>
      <c r="I33" s="1">
        <v>16</v>
      </c>
      <c r="J33" s="1">
        <v>29</v>
      </c>
      <c r="K33" s="1">
        <v>38</v>
      </c>
      <c r="L33" s="1">
        <v>20</v>
      </c>
      <c r="M33" s="1">
        <v>32</v>
      </c>
      <c r="N33" s="1">
        <v>26</v>
      </c>
      <c r="O33" s="1">
        <v>50</v>
      </c>
      <c r="P33" s="1">
        <v>25</v>
      </c>
      <c r="Q33" s="1">
        <f t="shared" si="0"/>
        <v>26.4</v>
      </c>
    </row>
    <row r="34" spans="1:17" x14ac:dyDescent="0.25">
      <c r="A34">
        <v>2003</v>
      </c>
      <c r="B34" s="1">
        <v>50</v>
      </c>
      <c r="C34" s="1">
        <v>55</v>
      </c>
      <c r="D34" s="1">
        <v>74</v>
      </c>
      <c r="E34" s="1">
        <v>21</v>
      </c>
      <c r="F34" s="1">
        <v>155</v>
      </c>
      <c r="G34" s="1">
        <v>58</v>
      </c>
      <c r="H34" s="1">
        <v>8</v>
      </c>
      <c r="I34" s="1">
        <v>40</v>
      </c>
      <c r="J34" s="1">
        <v>84</v>
      </c>
      <c r="K34" s="1">
        <v>56</v>
      </c>
      <c r="L34" s="1">
        <v>30</v>
      </c>
      <c r="M34" s="1">
        <v>61</v>
      </c>
      <c r="N34" s="1">
        <v>107</v>
      </c>
      <c r="O34" s="1">
        <v>58</v>
      </c>
      <c r="P34" s="1">
        <v>56</v>
      </c>
      <c r="Q34" s="1">
        <f t="shared" si="0"/>
        <v>60.866666666666667</v>
      </c>
    </row>
    <row r="35" spans="1:17" x14ac:dyDescent="0.25">
      <c r="A35">
        <v>2004</v>
      </c>
      <c r="B35" s="1">
        <v>59</v>
      </c>
      <c r="C35" s="1">
        <v>28</v>
      </c>
      <c r="D35" s="1">
        <v>55</v>
      </c>
      <c r="E35" s="1">
        <v>28</v>
      </c>
      <c r="F35" s="1">
        <v>102</v>
      </c>
      <c r="G35" s="1">
        <v>46</v>
      </c>
      <c r="H35" s="1">
        <v>22</v>
      </c>
      <c r="I35" s="1">
        <v>39</v>
      </c>
      <c r="J35" s="1">
        <v>78</v>
      </c>
      <c r="K35" s="1">
        <v>99</v>
      </c>
      <c r="L35" s="1">
        <v>53</v>
      </c>
      <c r="M35" s="1">
        <v>76</v>
      </c>
      <c r="N35" s="1">
        <v>58</v>
      </c>
      <c r="O35" s="1">
        <v>57</v>
      </c>
      <c r="P35" s="1">
        <v>64</v>
      </c>
      <c r="Q35" s="1">
        <f t="shared" si="0"/>
        <v>57.6</v>
      </c>
    </row>
    <row r="36" spans="1:17" x14ac:dyDescent="0.25">
      <c r="A36">
        <v>2005</v>
      </c>
      <c r="B36" s="1">
        <v>87</v>
      </c>
      <c r="C36" s="1">
        <v>19</v>
      </c>
      <c r="D36" s="1">
        <v>73</v>
      </c>
      <c r="E36" s="1">
        <v>31</v>
      </c>
      <c r="F36" s="1">
        <v>62</v>
      </c>
      <c r="G36" s="1">
        <v>58</v>
      </c>
      <c r="H36" s="1">
        <v>53</v>
      </c>
      <c r="I36" s="1">
        <v>54</v>
      </c>
      <c r="J36" s="1">
        <v>56</v>
      </c>
      <c r="K36" s="1">
        <v>51</v>
      </c>
      <c r="L36" s="1">
        <v>47</v>
      </c>
      <c r="M36" s="1">
        <v>53</v>
      </c>
      <c r="N36" s="1">
        <v>73</v>
      </c>
      <c r="O36" s="1">
        <v>73</v>
      </c>
      <c r="P36" s="1">
        <v>100</v>
      </c>
      <c r="Q36" s="1">
        <f t="shared" si="0"/>
        <v>59.333333333333336</v>
      </c>
    </row>
    <row r="37" spans="1:17" x14ac:dyDescent="0.25">
      <c r="A37">
        <v>2006</v>
      </c>
      <c r="B37" s="1">
        <v>55</v>
      </c>
      <c r="C37" s="1">
        <v>41</v>
      </c>
      <c r="D37" s="1">
        <v>51</v>
      </c>
      <c r="E37" s="1">
        <v>23</v>
      </c>
      <c r="F37" s="1">
        <v>47</v>
      </c>
      <c r="G37" s="1">
        <v>55</v>
      </c>
      <c r="H37" s="1">
        <v>50</v>
      </c>
      <c r="I37" s="1">
        <v>53</v>
      </c>
      <c r="J37" s="1">
        <v>81</v>
      </c>
      <c r="K37" s="1">
        <v>55</v>
      </c>
      <c r="L37" s="1">
        <v>48</v>
      </c>
      <c r="M37" s="1">
        <v>65</v>
      </c>
      <c r="N37" s="1">
        <v>55</v>
      </c>
      <c r="O37" s="1">
        <v>70</v>
      </c>
      <c r="P37" s="1">
        <v>95</v>
      </c>
      <c r="Q37" s="1">
        <f t="shared" si="0"/>
        <v>56.266666666666666</v>
      </c>
    </row>
    <row r="38" spans="1:17" x14ac:dyDescent="0.25">
      <c r="A38">
        <v>2007</v>
      </c>
      <c r="B38" s="1">
        <v>64</v>
      </c>
      <c r="C38" s="1">
        <v>24</v>
      </c>
      <c r="D38" s="1">
        <v>76</v>
      </c>
      <c r="E38" s="1">
        <v>22</v>
      </c>
      <c r="F38" s="1">
        <v>98</v>
      </c>
      <c r="G38" s="1">
        <v>48</v>
      </c>
      <c r="H38" s="1">
        <v>12</v>
      </c>
      <c r="I38" s="1">
        <v>36</v>
      </c>
      <c r="J38" s="1">
        <v>81</v>
      </c>
      <c r="K38" s="1">
        <v>112</v>
      </c>
      <c r="L38" s="1">
        <v>14</v>
      </c>
      <c r="M38" s="1">
        <v>39</v>
      </c>
      <c r="N38" s="1">
        <v>78</v>
      </c>
      <c r="O38" s="1">
        <v>46</v>
      </c>
      <c r="P38" s="1">
        <v>62</v>
      </c>
      <c r="Q38" s="1">
        <f t="shared" si="0"/>
        <v>54.133333333333333</v>
      </c>
    </row>
    <row r="39" spans="1:17" x14ac:dyDescent="0.25">
      <c r="A39">
        <v>2008</v>
      </c>
      <c r="B39" s="1">
        <v>38</v>
      </c>
      <c r="C39" s="1">
        <v>27</v>
      </c>
      <c r="D39" s="1">
        <v>56</v>
      </c>
      <c r="E39" s="1">
        <v>34</v>
      </c>
      <c r="F39" s="1">
        <v>71</v>
      </c>
      <c r="G39" s="1">
        <v>50</v>
      </c>
      <c r="H39" s="1">
        <v>58</v>
      </c>
      <c r="I39" s="1">
        <v>32</v>
      </c>
      <c r="J39" s="1">
        <v>85</v>
      </c>
      <c r="K39" s="1">
        <v>53</v>
      </c>
      <c r="L39" s="1">
        <v>35</v>
      </c>
      <c r="M39" s="1">
        <v>44</v>
      </c>
      <c r="N39" s="1">
        <v>49</v>
      </c>
      <c r="O39" s="1">
        <v>65</v>
      </c>
      <c r="P39" s="1">
        <v>62</v>
      </c>
      <c r="Q39" s="1">
        <f t="shared" si="0"/>
        <v>50.6</v>
      </c>
    </row>
    <row r="40" spans="1:17" x14ac:dyDescent="0.25">
      <c r="A40">
        <v>2009</v>
      </c>
      <c r="B40" s="1">
        <v>58</v>
      </c>
      <c r="C40" s="1">
        <v>55</v>
      </c>
      <c r="D40" s="1">
        <v>56</v>
      </c>
      <c r="E40" s="1">
        <v>35</v>
      </c>
      <c r="F40" s="1">
        <v>46</v>
      </c>
      <c r="G40" s="1">
        <v>42</v>
      </c>
      <c r="H40" s="1">
        <v>64</v>
      </c>
      <c r="I40" s="1">
        <v>39</v>
      </c>
      <c r="J40" s="1">
        <v>84</v>
      </c>
      <c r="K40" s="1">
        <v>58</v>
      </c>
      <c r="L40" s="1">
        <v>36</v>
      </c>
      <c r="M40" s="1">
        <v>56</v>
      </c>
      <c r="N40" s="1">
        <v>53</v>
      </c>
      <c r="O40" s="1">
        <v>67</v>
      </c>
      <c r="P40" s="1">
        <v>24</v>
      </c>
      <c r="Q40" s="1">
        <f t="shared" si="0"/>
        <v>51.533333333333331</v>
      </c>
    </row>
    <row r="41" spans="1:17" x14ac:dyDescent="0.25">
      <c r="A41">
        <v>2010</v>
      </c>
      <c r="B41" s="1">
        <v>48</v>
      </c>
      <c r="C41" s="1">
        <v>58</v>
      </c>
      <c r="D41" s="1">
        <v>78</v>
      </c>
      <c r="E41" s="1">
        <v>35</v>
      </c>
      <c r="F41" s="1">
        <v>57</v>
      </c>
      <c r="G41" s="1">
        <v>50</v>
      </c>
      <c r="H41" s="1">
        <v>71</v>
      </c>
      <c r="I41" s="1">
        <v>43</v>
      </c>
      <c r="J41" s="1">
        <v>55</v>
      </c>
      <c r="K41" s="1">
        <v>56</v>
      </c>
      <c r="L41" s="1">
        <v>58</v>
      </c>
      <c r="M41" s="1">
        <v>46</v>
      </c>
      <c r="N41" s="1">
        <v>54</v>
      </c>
      <c r="O41" s="1">
        <v>69</v>
      </c>
      <c r="P41" s="1">
        <v>68</v>
      </c>
      <c r="Q41" s="1">
        <f t="shared" si="0"/>
        <v>56.4</v>
      </c>
    </row>
    <row r="42" spans="1:17" x14ac:dyDescent="0.25">
      <c r="A42">
        <v>2011</v>
      </c>
      <c r="B42" s="1">
        <v>60</v>
      </c>
      <c r="C42" s="1">
        <v>31</v>
      </c>
      <c r="D42" s="1">
        <v>73</v>
      </c>
      <c r="E42" s="1">
        <v>28</v>
      </c>
      <c r="F42" s="1">
        <v>78</v>
      </c>
      <c r="G42" s="1">
        <v>45</v>
      </c>
      <c r="H42" s="1">
        <v>39</v>
      </c>
      <c r="I42" s="1">
        <v>34</v>
      </c>
      <c r="J42" s="1">
        <v>74</v>
      </c>
      <c r="K42" s="1">
        <v>50</v>
      </c>
      <c r="L42" s="1">
        <v>51</v>
      </c>
      <c r="M42" s="1">
        <v>48</v>
      </c>
      <c r="N42" s="1">
        <v>48</v>
      </c>
      <c r="O42" s="1">
        <v>65</v>
      </c>
      <c r="P42" s="1">
        <v>53</v>
      </c>
      <c r="Q42" s="1">
        <f t="shared" si="0"/>
        <v>51.8</v>
      </c>
    </row>
    <row r="43" spans="1:17" x14ac:dyDescent="0.25">
      <c r="A43">
        <v>2012</v>
      </c>
      <c r="B43" s="1">
        <v>54</v>
      </c>
      <c r="C43" s="1">
        <v>46</v>
      </c>
      <c r="D43" s="1">
        <v>48</v>
      </c>
      <c r="E43" s="1">
        <v>45</v>
      </c>
      <c r="F43" s="1">
        <v>51</v>
      </c>
      <c r="G43" s="1">
        <v>38</v>
      </c>
      <c r="H43" s="1">
        <v>50</v>
      </c>
      <c r="I43" s="1">
        <v>40</v>
      </c>
      <c r="J43" s="1">
        <v>43</v>
      </c>
      <c r="K43" s="1">
        <v>44</v>
      </c>
      <c r="L43" s="1">
        <v>50</v>
      </c>
      <c r="M43" s="1">
        <v>52</v>
      </c>
      <c r="N43" s="1">
        <v>35</v>
      </c>
      <c r="O43" s="1">
        <v>57</v>
      </c>
      <c r="P43" s="1">
        <v>67</v>
      </c>
      <c r="Q43" s="1">
        <f t="shared" si="0"/>
        <v>48</v>
      </c>
    </row>
    <row r="44" spans="1:17" x14ac:dyDescent="0.25">
      <c r="A44">
        <v>2013</v>
      </c>
      <c r="B44" s="1">
        <v>154</v>
      </c>
      <c r="C44" s="1">
        <v>44</v>
      </c>
      <c r="D44" s="1">
        <v>137</v>
      </c>
      <c r="E44" s="1">
        <v>62</v>
      </c>
      <c r="F44" s="1">
        <v>104</v>
      </c>
      <c r="G44" s="1">
        <v>105</v>
      </c>
      <c r="H44" s="1">
        <v>75</v>
      </c>
      <c r="I44" s="1">
        <v>60</v>
      </c>
      <c r="J44" s="1">
        <v>201</v>
      </c>
      <c r="K44" s="1">
        <v>70</v>
      </c>
      <c r="L44" s="1">
        <v>104</v>
      </c>
      <c r="M44" s="1">
        <v>90</v>
      </c>
      <c r="N44" s="1">
        <v>79</v>
      </c>
      <c r="O44" s="1">
        <v>122</v>
      </c>
      <c r="P44" s="1">
        <v>136</v>
      </c>
      <c r="Q44" s="1">
        <f t="shared" si="0"/>
        <v>102.86666666666666</v>
      </c>
    </row>
    <row r="45" spans="1:17" x14ac:dyDescent="0.25">
      <c r="A45">
        <v>2014</v>
      </c>
      <c r="B45" s="1">
        <v>83</v>
      </c>
      <c r="C45" s="1">
        <v>26</v>
      </c>
      <c r="D45" s="1">
        <v>87</v>
      </c>
      <c r="E45" s="1">
        <v>41</v>
      </c>
      <c r="F45" s="1">
        <v>57</v>
      </c>
      <c r="G45" s="1">
        <v>43</v>
      </c>
      <c r="H45" s="1">
        <v>53</v>
      </c>
      <c r="I45" s="1">
        <v>29</v>
      </c>
      <c r="J45" s="1">
        <v>48</v>
      </c>
      <c r="K45" s="1">
        <v>42</v>
      </c>
      <c r="L45" s="1">
        <v>58</v>
      </c>
      <c r="M45" s="1">
        <v>52</v>
      </c>
      <c r="N45" s="1">
        <v>67</v>
      </c>
      <c r="O45" s="1">
        <v>67</v>
      </c>
      <c r="P45" s="1">
        <v>71</v>
      </c>
      <c r="Q45" s="1">
        <f t="shared" si="0"/>
        <v>54.93333333333333</v>
      </c>
    </row>
    <row r="46" spans="1:17" x14ac:dyDescent="0.25">
      <c r="A46">
        <v>2015</v>
      </c>
      <c r="B46" s="1">
        <v>123</v>
      </c>
      <c r="C46" s="1">
        <v>32</v>
      </c>
      <c r="D46" s="1">
        <v>115</v>
      </c>
      <c r="E46" s="1">
        <v>32</v>
      </c>
      <c r="F46" s="1">
        <v>88</v>
      </c>
      <c r="G46" s="1">
        <v>79</v>
      </c>
      <c r="H46" s="1">
        <v>56</v>
      </c>
      <c r="I46" s="1">
        <v>34</v>
      </c>
      <c r="J46" s="1">
        <v>82</v>
      </c>
      <c r="K46" s="1">
        <v>56</v>
      </c>
      <c r="L46" s="1">
        <v>64</v>
      </c>
      <c r="M46" s="1">
        <v>52</v>
      </c>
      <c r="N46" s="1">
        <v>84</v>
      </c>
      <c r="O46" s="1">
        <v>157</v>
      </c>
      <c r="P46" s="1">
        <v>94</v>
      </c>
      <c r="Q46" s="1">
        <f t="shared" si="0"/>
        <v>76.533333333333331</v>
      </c>
    </row>
    <row r="47" spans="1:17" x14ac:dyDescent="0.25">
      <c r="A47">
        <v>2016</v>
      </c>
      <c r="B47" s="1">
        <v>73</v>
      </c>
      <c r="C47" s="1">
        <v>44</v>
      </c>
      <c r="D47" s="1">
        <v>67</v>
      </c>
      <c r="E47" s="1">
        <v>31</v>
      </c>
      <c r="F47" s="1">
        <v>49</v>
      </c>
      <c r="G47" s="1">
        <v>66</v>
      </c>
      <c r="H47" s="1">
        <v>36</v>
      </c>
      <c r="I47" s="1">
        <v>36</v>
      </c>
      <c r="J47" s="1">
        <v>56</v>
      </c>
      <c r="K47" s="1">
        <v>59</v>
      </c>
      <c r="L47" s="1">
        <v>63</v>
      </c>
      <c r="M47" s="1">
        <v>48</v>
      </c>
      <c r="N47" s="1">
        <v>46</v>
      </c>
      <c r="O47" s="1">
        <v>89</v>
      </c>
      <c r="P47" s="1">
        <v>74</v>
      </c>
      <c r="Q47" s="1">
        <f t="shared" si="0"/>
        <v>55.8</v>
      </c>
    </row>
    <row r="48" spans="1:17" x14ac:dyDescent="0.25">
      <c r="A48">
        <v>2017</v>
      </c>
      <c r="B48" s="1">
        <v>162</v>
      </c>
      <c r="C48" s="1">
        <v>66</v>
      </c>
      <c r="D48" s="1">
        <v>113</v>
      </c>
      <c r="E48" s="1">
        <v>31</v>
      </c>
      <c r="F48" s="1">
        <v>100</v>
      </c>
      <c r="G48" s="1">
        <v>144</v>
      </c>
      <c r="H48" s="1">
        <v>105</v>
      </c>
      <c r="I48" s="1">
        <v>71</v>
      </c>
      <c r="J48" s="1">
        <v>190</v>
      </c>
      <c r="K48" s="1">
        <v>84</v>
      </c>
      <c r="L48" s="1">
        <v>98</v>
      </c>
      <c r="M48" s="1">
        <v>65</v>
      </c>
      <c r="N48" s="1">
        <v>94</v>
      </c>
      <c r="O48" s="1">
        <v>158</v>
      </c>
      <c r="P48" s="1">
        <v>139</v>
      </c>
      <c r="Q48" s="1">
        <f t="shared" si="0"/>
        <v>108</v>
      </c>
    </row>
    <row r="49" spans="1:17" x14ac:dyDescent="0.25">
      <c r="A49">
        <v>2018</v>
      </c>
      <c r="B49" s="1">
        <v>62</v>
      </c>
      <c r="C49" s="1">
        <v>26</v>
      </c>
      <c r="D49" s="1">
        <v>59</v>
      </c>
      <c r="E49" s="1"/>
      <c r="F49" s="1">
        <v>59</v>
      </c>
      <c r="G49" s="1">
        <v>53</v>
      </c>
      <c r="H49" s="1">
        <v>47</v>
      </c>
      <c r="I49" s="1">
        <v>48</v>
      </c>
      <c r="J49" s="1">
        <v>54</v>
      </c>
      <c r="K49" s="1">
        <v>42</v>
      </c>
      <c r="L49" s="1">
        <v>49</v>
      </c>
      <c r="M49" s="1">
        <v>48</v>
      </c>
      <c r="N49" s="1">
        <v>44</v>
      </c>
      <c r="O49" s="1">
        <v>57</v>
      </c>
      <c r="P49" s="1">
        <v>55</v>
      </c>
      <c r="Q49" s="1">
        <f t="shared" si="0"/>
        <v>50.214285714285715</v>
      </c>
    </row>
    <row r="50" spans="1:17" x14ac:dyDescent="0.25">
      <c r="A50">
        <v>2019</v>
      </c>
      <c r="B50" s="1">
        <v>67</v>
      </c>
      <c r="C50" s="1">
        <v>0</v>
      </c>
      <c r="D50" s="1">
        <v>80</v>
      </c>
      <c r="E50" s="1"/>
      <c r="F50" s="1">
        <v>107</v>
      </c>
      <c r="G50" s="1">
        <v>60</v>
      </c>
      <c r="H50" s="1">
        <v>41</v>
      </c>
      <c r="I50" s="1">
        <v>33</v>
      </c>
      <c r="J50" s="1">
        <v>56</v>
      </c>
      <c r="K50" s="1">
        <v>68</v>
      </c>
      <c r="L50" s="1">
        <v>45</v>
      </c>
      <c r="M50" s="1">
        <v>51</v>
      </c>
      <c r="N50" s="1">
        <v>80</v>
      </c>
      <c r="O50" s="1">
        <v>56</v>
      </c>
      <c r="P50" s="1">
        <v>64</v>
      </c>
      <c r="Q50" s="1">
        <f t="shared" si="0"/>
        <v>57.714285714285715</v>
      </c>
    </row>
    <row r="51" spans="1:17" x14ac:dyDescent="0.25">
      <c r="A51">
        <v>2020</v>
      </c>
      <c r="B51" s="1">
        <v>133</v>
      </c>
      <c r="C51" s="1">
        <v>0</v>
      </c>
      <c r="D51" s="1">
        <v>100</v>
      </c>
      <c r="E51" s="1"/>
      <c r="F51" s="1">
        <v>68</v>
      </c>
      <c r="G51" s="1">
        <v>102</v>
      </c>
      <c r="H51" s="1">
        <v>73</v>
      </c>
      <c r="I51" s="1">
        <v>43</v>
      </c>
      <c r="J51" s="1">
        <v>89</v>
      </c>
      <c r="K51" s="1">
        <v>87</v>
      </c>
      <c r="L51" s="1">
        <v>84</v>
      </c>
      <c r="M51" s="1">
        <v>63</v>
      </c>
      <c r="N51" s="1">
        <v>96</v>
      </c>
      <c r="O51" s="1">
        <v>122</v>
      </c>
      <c r="P51" s="1">
        <v>101</v>
      </c>
      <c r="Q51" s="1">
        <f t="shared" si="0"/>
        <v>82.928571428571431</v>
      </c>
    </row>
    <row r="52" spans="1:17" x14ac:dyDescent="0.25">
      <c r="A52">
        <v>2021</v>
      </c>
      <c r="B52" s="1">
        <v>134</v>
      </c>
      <c r="C52" s="1">
        <v>0</v>
      </c>
      <c r="D52" s="1">
        <v>152</v>
      </c>
      <c r="E52" s="1"/>
      <c r="F52" s="1">
        <v>131</v>
      </c>
      <c r="G52" s="1">
        <v>112</v>
      </c>
      <c r="H52" s="1">
        <v>58</v>
      </c>
      <c r="I52" s="1">
        <v>35</v>
      </c>
      <c r="J52" s="1">
        <v>80</v>
      </c>
      <c r="K52" s="1">
        <v>105</v>
      </c>
      <c r="L52" s="1">
        <v>57</v>
      </c>
      <c r="M52" s="1">
        <v>70</v>
      </c>
      <c r="N52" s="1">
        <v>93</v>
      </c>
      <c r="O52" s="1">
        <v>78</v>
      </c>
      <c r="P52" s="1">
        <v>75</v>
      </c>
      <c r="Q52" s="1">
        <f t="shared" si="0"/>
        <v>84.285714285714292</v>
      </c>
    </row>
    <row r="53" spans="1:17" x14ac:dyDescent="0.25">
      <c r="A53">
        <v>2022</v>
      </c>
      <c r="B53" s="1">
        <v>78</v>
      </c>
      <c r="C53" s="1">
        <v>0</v>
      </c>
      <c r="D53" s="1">
        <v>58</v>
      </c>
      <c r="E53" s="1"/>
      <c r="F53" s="1">
        <v>87</v>
      </c>
      <c r="G53" s="1">
        <v>119</v>
      </c>
      <c r="H53" s="1">
        <v>47</v>
      </c>
      <c r="I53" s="1">
        <v>104</v>
      </c>
      <c r="J53" s="1">
        <v>73</v>
      </c>
      <c r="K53" s="1">
        <v>65</v>
      </c>
      <c r="L53" s="1">
        <v>48</v>
      </c>
      <c r="M53" s="1">
        <v>65</v>
      </c>
      <c r="N53" s="1">
        <v>53</v>
      </c>
      <c r="O53" s="1">
        <v>56</v>
      </c>
      <c r="P53" s="1">
        <v>63</v>
      </c>
      <c r="Q53" s="1">
        <f t="shared" si="0"/>
        <v>65.428571428571431</v>
      </c>
    </row>
    <row r="54" spans="1:17" x14ac:dyDescent="0.25">
      <c r="A54">
        <v>2023</v>
      </c>
      <c r="B54" s="1">
        <v>69</v>
      </c>
      <c r="C54" s="1">
        <v>0</v>
      </c>
      <c r="D54" s="1">
        <v>57</v>
      </c>
      <c r="E54" s="1"/>
      <c r="F54" s="1">
        <v>47</v>
      </c>
      <c r="G54" s="1">
        <v>48</v>
      </c>
      <c r="H54" s="1">
        <v>170</v>
      </c>
      <c r="I54" s="1">
        <v>37</v>
      </c>
      <c r="J54" s="1">
        <v>52</v>
      </c>
      <c r="K54" s="1">
        <v>54</v>
      </c>
      <c r="L54" s="1">
        <v>46</v>
      </c>
      <c r="M54" s="1">
        <v>33</v>
      </c>
      <c r="N54" s="1">
        <v>38</v>
      </c>
      <c r="O54" s="1">
        <v>66</v>
      </c>
      <c r="P54" s="1">
        <v>68</v>
      </c>
      <c r="Q54" s="1">
        <f t="shared" si="0"/>
        <v>56.071428571428569</v>
      </c>
    </row>
    <row r="55" spans="1:17" x14ac:dyDescent="0.25">
      <c r="A55">
        <v>2024</v>
      </c>
      <c r="B55" s="1">
        <v>81.400000000000006</v>
      </c>
      <c r="C55" s="1">
        <v>0</v>
      </c>
      <c r="D55" s="1">
        <v>99</v>
      </c>
      <c r="E55" s="1"/>
      <c r="F55" s="1">
        <v>76</v>
      </c>
      <c r="G55" s="1">
        <v>49.5</v>
      </c>
      <c r="H55" s="1">
        <v>45.5</v>
      </c>
      <c r="I55" s="1">
        <v>28.6</v>
      </c>
      <c r="J55" s="1">
        <v>72</v>
      </c>
      <c r="K55" s="1">
        <v>69</v>
      </c>
      <c r="L55" s="1">
        <v>33.799999999999997</v>
      </c>
      <c r="M55" s="1">
        <v>9</v>
      </c>
      <c r="N55" s="1">
        <v>43.4</v>
      </c>
      <c r="O55" s="1">
        <v>73.5</v>
      </c>
      <c r="P55" s="1">
        <v>33.6</v>
      </c>
      <c r="Q55" s="1">
        <f t="shared" si="0"/>
        <v>51.021428571428565</v>
      </c>
    </row>
    <row r="56" spans="1:17" x14ac:dyDescent="0.25">
      <c r="A56">
        <v>2025</v>
      </c>
      <c r="B56" s="1">
        <v>273</v>
      </c>
      <c r="C56" s="1"/>
      <c r="D56" s="1">
        <v>80</v>
      </c>
      <c r="E56" s="1"/>
      <c r="F56" s="1">
        <v>61</v>
      </c>
      <c r="G56" s="1">
        <v>67</v>
      </c>
      <c r="H56" s="1">
        <v>49</v>
      </c>
      <c r="I56" s="1">
        <v>67</v>
      </c>
      <c r="J56" s="1">
        <v>58</v>
      </c>
      <c r="K56" s="1">
        <v>85</v>
      </c>
      <c r="L56" s="1">
        <v>138</v>
      </c>
      <c r="M56" s="1">
        <v>44</v>
      </c>
      <c r="N56" s="1">
        <v>85</v>
      </c>
      <c r="O56" s="1">
        <v>90</v>
      </c>
      <c r="P56" s="1">
        <v>109</v>
      </c>
      <c r="Q56" s="1">
        <f t="shared" si="0"/>
        <v>92.769230769230774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6"/>
  <sheetViews>
    <sheetView workbookViewId="0">
      <selection activeCell="N1" sqref="N1"/>
    </sheetView>
  </sheetViews>
  <sheetFormatPr defaultRowHeight="15" x14ac:dyDescent="0.25"/>
  <sheetData>
    <row r="1" spans="1:14" ht="75" x14ac:dyDescent="0.25">
      <c r="B1" t="s">
        <v>182</v>
      </c>
      <c r="C1" t="s">
        <v>183</v>
      </c>
      <c r="D1" t="s">
        <v>184</v>
      </c>
      <c r="E1" t="s">
        <v>185</v>
      </c>
      <c r="F1" t="s">
        <v>186</v>
      </c>
      <c r="G1" t="s">
        <v>187</v>
      </c>
      <c r="H1" t="s">
        <v>188</v>
      </c>
      <c r="I1" t="s">
        <v>189</v>
      </c>
      <c r="J1" t="s">
        <v>190</v>
      </c>
      <c r="K1" t="s">
        <v>191</v>
      </c>
      <c r="L1" t="s">
        <v>192</v>
      </c>
      <c r="M1" t="s">
        <v>193</v>
      </c>
      <c r="N1" s="3" t="s">
        <v>213</v>
      </c>
    </row>
    <row r="2" spans="1:14" x14ac:dyDescent="0.25">
      <c r="A2">
        <v>1971</v>
      </c>
      <c r="B2" s="1">
        <v>122</v>
      </c>
      <c r="C2" s="1">
        <v>82</v>
      </c>
      <c r="D2" s="1">
        <v>81</v>
      </c>
      <c r="E2" s="1">
        <v>82</v>
      </c>
      <c r="F2" s="1">
        <v>108</v>
      </c>
      <c r="G2" s="1">
        <v>56</v>
      </c>
      <c r="H2" s="1">
        <v>65</v>
      </c>
      <c r="I2" s="1">
        <v>114</v>
      </c>
      <c r="J2" s="1">
        <v>40</v>
      </c>
      <c r="K2" s="1">
        <v>104</v>
      </c>
      <c r="L2" s="1">
        <v>24</v>
      </c>
      <c r="M2" s="1">
        <v>84</v>
      </c>
      <c r="N2" s="1">
        <f>AVERAGE(B2:M2)</f>
        <v>80.166666666666671</v>
      </c>
    </row>
    <row r="3" spans="1:14" x14ac:dyDescent="0.25">
      <c r="A3">
        <v>1972</v>
      </c>
      <c r="B3" s="1">
        <v>115</v>
      </c>
      <c r="C3" s="1">
        <v>59</v>
      </c>
      <c r="D3" s="1">
        <v>98</v>
      </c>
      <c r="E3" s="1">
        <v>50</v>
      </c>
      <c r="F3" s="1">
        <v>73</v>
      </c>
      <c r="G3" s="1">
        <v>30</v>
      </c>
      <c r="H3" s="1">
        <v>38</v>
      </c>
      <c r="I3" s="1">
        <v>53</v>
      </c>
      <c r="J3" s="1">
        <v>18</v>
      </c>
      <c r="K3" s="1">
        <v>44</v>
      </c>
      <c r="L3" s="1">
        <v>48</v>
      </c>
      <c r="M3" s="1">
        <v>42</v>
      </c>
      <c r="N3" s="1">
        <f t="shared" ref="N3:N56" si="0">AVERAGE(B3:M3)</f>
        <v>55.666666666666664</v>
      </c>
    </row>
    <row r="4" spans="1:14" x14ac:dyDescent="0.25">
      <c r="A4">
        <v>1973</v>
      </c>
      <c r="B4" s="1">
        <v>86</v>
      </c>
      <c r="C4" s="1">
        <v>82</v>
      </c>
      <c r="D4" s="1">
        <v>105</v>
      </c>
      <c r="E4" s="1">
        <v>105</v>
      </c>
      <c r="F4" s="1">
        <v>105</v>
      </c>
      <c r="G4" s="1">
        <v>51</v>
      </c>
      <c r="H4" s="1">
        <v>93</v>
      </c>
      <c r="I4" s="1">
        <v>84</v>
      </c>
      <c r="J4" s="1">
        <v>49</v>
      </c>
      <c r="K4" s="1">
        <v>61</v>
      </c>
      <c r="L4" s="1">
        <v>36</v>
      </c>
      <c r="M4" s="1">
        <v>78</v>
      </c>
      <c r="N4" s="1">
        <f t="shared" si="0"/>
        <v>77.916666666666671</v>
      </c>
    </row>
    <row r="5" spans="1:14" x14ac:dyDescent="0.25">
      <c r="A5">
        <v>1974</v>
      </c>
      <c r="B5" s="1">
        <v>49</v>
      </c>
      <c r="C5" s="1">
        <v>62</v>
      </c>
      <c r="D5" s="1">
        <v>57</v>
      </c>
      <c r="E5" s="1">
        <v>107</v>
      </c>
      <c r="F5" s="1">
        <v>80</v>
      </c>
      <c r="G5" s="1">
        <v>44</v>
      </c>
      <c r="H5" s="1">
        <v>53</v>
      </c>
      <c r="I5" s="1">
        <v>40</v>
      </c>
      <c r="J5" s="1">
        <v>37</v>
      </c>
      <c r="K5" s="1">
        <v>45</v>
      </c>
      <c r="L5" s="1">
        <v>22</v>
      </c>
      <c r="M5" s="1">
        <v>38</v>
      </c>
      <c r="N5" s="1">
        <f t="shared" si="0"/>
        <v>52.833333333333336</v>
      </c>
    </row>
    <row r="6" spans="1:14" x14ac:dyDescent="0.25">
      <c r="A6">
        <v>1975</v>
      </c>
      <c r="B6" s="1">
        <v>70</v>
      </c>
      <c r="C6" s="1">
        <v>92</v>
      </c>
      <c r="D6" s="1">
        <v>102</v>
      </c>
      <c r="E6" s="1">
        <v>136</v>
      </c>
      <c r="F6" s="1">
        <v>81</v>
      </c>
      <c r="G6" s="1">
        <v>42</v>
      </c>
      <c r="H6" s="1">
        <v>67</v>
      </c>
      <c r="I6" s="1">
        <v>76</v>
      </c>
      <c r="J6" s="1">
        <v>40</v>
      </c>
      <c r="K6" s="1">
        <v>50</v>
      </c>
      <c r="L6" s="1">
        <v>34</v>
      </c>
      <c r="M6" s="1">
        <v>55</v>
      </c>
      <c r="N6" s="1">
        <f t="shared" si="0"/>
        <v>70.416666666666671</v>
      </c>
    </row>
    <row r="7" spans="1:14" x14ac:dyDescent="0.25">
      <c r="A7">
        <v>1976</v>
      </c>
      <c r="B7" s="1">
        <v>69</v>
      </c>
      <c r="C7" s="1">
        <v>82</v>
      </c>
      <c r="D7" s="1">
        <v>74</v>
      </c>
      <c r="E7" s="1">
        <v>99</v>
      </c>
      <c r="F7" s="1">
        <v>48</v>
      </c>
      <c r="G7" s="1">
        <v>40</v>
      </c>
      <c r="H7" s="1">
        <v>42</v>
      </c>
      <c r="I7" s="1">
        <v>76</v>
      </c>
      <c r="J7" s="1">
        <v>49</v>
      </c>
      <c r="K7" s="1">
        <v>73</v>
      </c>
      <c r="L7" s="1">
        <v>23</v>
      </c>
      <c r="M7" s="1">
        <v>51</v>
      </c>
      <c r="N7" s="1">
        <f t="shared" si="0"/>
        <v>60.5</v>
      </c>
    </row>
    <row r="8" spans="1:14" x14ac:dyDescent="0.25">
      <c r="A8">
        <v>1977</v>
      </c>
      <c r="B8" s="1">
        <v>89</v>
      </c>
      <c r="C8" s="1">
        <v>104</v>
      </c>
      <c r="D8" s="1">
        <v>99</v>
      </c>
      <c r="E8" s="1">
        <v>122</v>
      </c>
      <c r="F8" s="1">
        <v>89</v>
      </c>
      <c r="G8" s="1">
        <v>64</v>
      </c>
      <c r="H8" s="1">
        <v>94</v>
      </c>
      <c r="I8" s="1">
        <v>112</v>
      </c>
      <c r="J8" s="1">
        <v>46</v>
      </c>
      <c r="K8" s="1">
        <v>101</v>
      </c>
      <c r="L8" s="1">
        <v>75</v>
      </c>
      <c r="M8" s="1">
        <v>96</v>
      </c>
      <c r="N8" s="1">
        <f t="shared" si="0"/>
        <v>90.916666666666671</v>
      </c>
    </row>
    <row r="9" spans="1:14" x14ac:dyDescent="0.25">
      <c r="A9">
        <v>1978</v>
      </c>
      <c r="B9" s="1">
        <v>72.2</v>
      </c>
      <c r="C9" s="1">
        <v>93.01</v>
      </c>
      <c r="D9" s="1">
        <v>73.599999999999994</v>
      </c>
      <c r="E9" s="1">
        <v>43.58</v>
      </c>
      <c r="F9" s="1">
        <v>62.1</v>
      </c>
      <c r="G9" s="1">
        <v>30</v>
      </c>
      <c r="H9" s="1">
        <v>91</v>
      </c>
      <c r="I9" s="1">
        <v>57.8</v>
      </c>
      <c r="J9" s="1">
        <v>33.799999999999997</v>
      </c>
      <c r="K9" s="1">
        <v>72</v>
      </c>
      <c r="L9" s="1">
        <v>21.6</v>
      </c>
      <c r="M9" s="1">
        <v>52.5</v>
      </c>
      <c r="N9" s="1">
        <f t="shared" si="0"/>
        <v>58.599166666666662</v>
      </c>
    </row>
    <row r="10" spans="1:14" x14ac:dyDescent="0.25">
      <c r="A10">
        <v>1979</v>
      </c>
      <c r="B10" s="1">
        <v>72</v>
      </c>
      <c r="C10" s="1">
        <v>101.5</v>
      </c>
      <c r="D10" s="1">
        <v>68.2</v>
      </c>
      <c r="E10" s="1">
        <v>97.21</v>
      </c>
      <c r="F10" s="1">
        <v>61.62</v>
      </c>
      <c r="G10" s="1">
        <v>62</v>
      </c>
      <c r="H10" s="1">
        <v>72.5</v>
      </c>
      <c r="I10" s="1">
        <v>99</v>
      </c>
      <c r="J10" s="1">
        <v>36</v>
      </c>
      <c r="K10" s="1">
        <v>95.7</v>
      </c>
      <c r="L10" s="1">
        <v>29.7</v>
      </c>
      <c r="M10" s="1">
        <v>57.83</v>
      </c>
      <c r="N10" s="1">
        <f t="shared" si="0"/>
        <v>71.105000000000004</v>
      </c>
    </row>
    <row r="11" spans="1:14" x14ac:dyDescent="0.25">
      <c r="A11">
        <v>1980</v>
      </c>
      <c r="B11" s="1">
        <v>80.599999999999994</v>
      </c>
      <c r="C11" s="1">
        <v>84</v>
      </c>
      <c r="D11" s="1">
        <v>110.7</v>
      </c>
      <c r="E11" s="1">
        <v>75.03</v>
      </c>
      <c r="F11" s="1">
        <v>54.6</v>
      </c>
      <c r="G11" s="1">
        <v>48</v>
      </c>
      <c r="H11" s="1">
        <v>88.8</v>
      </c>
      <c r="I11" s="1">
        <v>126</v>
      </c>
      <c r="J11" s="1">
        <v>61.6</v>
      </c>
      <c r="K11" s="1">
        <v>99.2</v>
      </c>
      <c r="L11" s="1">
        <v>36</v>
      </c>
      <c r="M11" s="1">
        <v>139.4</v>
      </c>
      <c r="N11" s="1">
        <f t="shared" si="0"/>
        <v>83.660833333333343</v>
      </c>
    </row>
    <row r="12" spans="1:14" x14ac:dyDescent="0.25">
      <c r="A12">
        <v>1981</v>
      </c>
      <c r="B12" s="1">
        <v>57.5</v>
      </c>
      <c r="C12" s="1">
        <v>64.400000000000006</v>
      </c>
      <c r="D12" s="1">
        <v>79.2</v>
      </c>
      <c r="E12" s="1">
        <v>61.2</v>
      </c>
      <c r="F12" s="1">
        <v>54</v>
      </c>
      <c r="G12" s="1">
        <v>46</v>
      </c>
      <c r="H12" s="1">
        <v>52</v>
      </c>
      <c r="I12" s="1">
        <v>47.6</v>
      </c>
      <c r="J12" s="1">
        <v>36</v>
      </c>
      <c r="K12" s="1">
        <v>43.7</v>
      </c>
      <c r="L12" s="1">
        <v>23.4</v>
      </c>
      <c r="M12" s="1">
        <v>67.599999999999994</v>
      </c>
      <c r="N12" s="1">
        <f t="shared" si="0"/>
        <v>52.716666666666669</v>
      </c>
    </row>
    <row r="13" spans="1:14" x14ac:dyDescent="0.25">
      <c r="A13">
        <v>1982</v>
      </c>
      <c r="B13" s="1">
        <v>47.6</v>
      </c>
      <c r="C13" s="1">
        <v>81.599999999999994</v>
      </c>
      <c r="D13" s="1">
        <v>46.5</v>
      </c>
      <c r="E13" s="1">
        <v>44</v>
      </c>
      <c r="F13" s="1">
        <v>50.4</v>
      </c>
      <c r="G13" s="1">
        <v>36.799999999999997</v>
      </c>
      <c r="H13" s="1">
        <v>60</v>
      </c>
      <c r="I13" s="1">
        <v>78</v>
      </c>
      <c r="J13" s="1">
        <v>46</v>
      </c>
      <c r="K13" s="1">
        <v>58.8</v>
      </c>
      <c r="L13" s="1">
        <v>39.200000000000003</v>
      </c>
      <c r="M13" s="1">
        <v>161</v>
      </c>
      <c r="N13" s="1">
        <f t="shared" si="0"/>
        <v>62.491666666666667</v>
      </c>
    </row>
    <row r="14" spans="1:14" x14ac:dyDescent="0.25">
      <c r="A14">
        <v>1983</v>
      </c>
      <c r="B14" s="1">
        <v>67.5</v>
      </c>
      <c r="C14" s="1">
        <v>89.1</v>
      </c>
      <c r="D14" s="1">
        <v>61.2</v>
      </c>
      <c r="E14" s="1">
        <v>99</v>
      </c>
      <c r="F14" s="1">
        <v>85.8</v>
      </c>
      <c r="G14" s="1">
        <v>24</v>
      </c>
      <c r="H14" s="1">
        <v>63</v>
      </c>
      <c r="I14" s="1">
        <v>88.4</v>
      </c>
      <c r="J14" s="1">
        <v>43.5</v>
      </c>
      <c r="K14" s="1">
        <v>32.4</v>
      </c>
      <c r="L14" s="1">
        <v>33</v>
      </c>
      <c r="M14" s="1">
        <v>84.16</v>
      </c>
      <c r="N14" s="1">
        <f t="shared" si="0"/>
        <v>64.254999999999995</v>
      </c>
    </row>
    <row r="15" spans="1:14" x14ac:dyDescent="0.25">
      <c r="A15">
        <v>1984</v>
      </c>
      <c r="B15" s="1">
        <v>40.630000000000003</v>
      </c>
      <c r="C15" s="1">
        <v>50</v>
      </c>
      <c r="D15" s="1">
        <v>70.400000000000006</v>
      </c>
      <c r="E15" s="1">
        <v>62</v>
      </c>
      <c r="F15" s="1">
        <v>38.4</v>
      </c>
      <c r="G15" s="1">
        <v>26</v>
      </c>
      <c r="H15" s="1">
        <v>52.8</v>
      </c>
      <c r="I15" s="1">
        <v>72</v>
      </c>
      <c r="J15" s="1">
        <v>36.4</v>
      </c>
      <c r="K15" s="1">
        <v>58.8</v>
      </c>
      <c r="L15" s="1">
        <v>44.8</v>
      </c>
      <c r="M15" s="1">
        <v>36</v>
      </c>
      <c r="N15" s="1">
        <f t="shared" si="0"/>
        <v>49.019166666666671</v>
      </c>
    </row>
    <row r="16" spans="1:14" x14ac:dyDescent="0.25">
      <c r="A16">
        <v>1985</v>
      </c>
      <c r="B16" s="1">
        <v>79.8</v>
      </c>
      <c r="C16" s="1">
        <v>58.8</v>
      </c>
      <c r="D16" s="1">
        <v>88.4</v>
      </c>
      <c r="E16" s="1">
        <v>92.4</v>
      </c>
      <c r="F16" s="1">
        <v>50.6</v>
      </c>
      <c r="G16" s="1">
        <v>46.4</v>
      </c>
      <c r="H16" s="1">
        <v>85.8</v>
      </c>
      <c r="I16" s="1">
        <v>72</v>
      </c>
      <c r="J16" s="1">
        <v>62.1</v>
      </c>
      <c r="K16" s="1">
        <v>80.599999999999994</v>
      </c>
      <c r="L16" s="1">
        <v>110.2</v>
      </c>
      <c r="M16" s="1">
        <v>134.4</v>
      </c>
      <c r="N16" s="1">
        <f t="shared" si="0"/>
        <v>80.125000000000014</v>
      </c>
    </row>
    <row r="17" spans="1:14" x14ac:dyDescent="0.25">
      <c r="A17">
        <v>1986</v>
      </c>
      <c r="B17" s="1">
        <v>105</v>
      </c>
      <c r="C17" s="1">
        <v>65</v>
      </c>
      <c r="D17" s="1">
        <v>107</v>
      </c>
      <c r="E17" s="1">
        <v>96</v>
      </c>
      <c r="F17" s="1">
        <v>129</v>
      </c>
      <c r="G17" s="1">
        <v>62</v>
      </c>
      <c r="H17" s="1">
        <v>66</v>
      </c>
      <c r="I17" s="1">
        <v>87</v>
      </c>
      <c r="J17" s="1">
        <v>55</v>
      </c>
      <c r="K17" s="1">
        <v>73</v>
      </c>
      <c r="L17" s="1">
        <v>73</v>
      </c>
      <c r="M17" s="1">
        <v>115</v>
      </c>
      <c r="N17" s="1">
        <f t="shared" si="0"/>
        <v>86.083333333333329</v>
      </c>
    </row>
    <row r="18" spans="1:14" x14ac:dyDescent="0.25">
      <c r="A18">
        <v>1987</v>
      </c>
      <c r="B18" s="1">
        <v>78</v>
      </c>
      <c r="C18" s="1">
        <v>85</v>
      </c>
      <c r="D18" s="1">
        <v>98</v>
      </c>
      <c r="E18" s="1">
        <v>180</v>
      </c>
      <c r="F18" s="1">
        <v>81</v>
      </c>
      <c r="G18" s="1">
        <v>58</v>
      </c>
      <c r="H18" s="1">
        <v>72</v>
      </c>
      <c r="I18" s="1">
        <v>90</v>
      </c>
      <c r="J18" s="1">
        <v>57</v>
      </c>
      <c r="K18" s="1">
        <v>60</v>
      </c>
      <c r="L18" s="1">
        <v>50</v>
      </c>
      <c r="M18" s="1">
        <v>142</v>
      </c>
      <c r="N18" s="1">
        <f t="shared" si="0"/>
        <v>87.583333333333329</v>
      </c>
    </row>
    <row r="19" spans="1:14" x14ac:dyDescent="0.25">
      <c r="A19">
        <v>1988</v>
      </c>
      <c r="B19" s="1">
        <v>84</v>
      </c>
      <c r="C19" s="1">
        <v>95</v>
      </c>
      <c r="D19" s="1">
        <v>86</v>
      </c>
      <c r="E19" s="1">
        <v>129</v>
      </c>
      <c r="F19" s="1">
        <v>124</v>
      </c>
      <c r="G19" s="1">
        <v>53</v>
      </c>
      <c r="H19" s="1">
        <v>80</v>
      </c>
      <c r="I19" s="1">
        <v>75</v>
      </c>
      <c r="J19" s="1">
        <v>58</v>
      </c>
      <c r="K19" s="1">
        <v>60</v>
      </c>
      <c r="L19" s="1">
        <v>78</v>
      </c>
      <c r="M19" s="1">
        <v>123</v>
      </c>
      <c r="N19" s="1">
        <f t="shared" si="0"/>
        <v>87.083333333333329</v>
      </c>
    </row>
    <row r="20" spans="1:14" x14ac:dyDescent="0.25">
      <c r="A20">
        <v>1989</v>
      </c>
      <c r="B20" s="1">
        <v>61</v>
      </c>
      <c r="C20" s="1">
        <v>70</v>
      </c>
      <c r="D20" s="1">
        <v>72</v>
      </c>
      <c r="E20" s="1">
        <v>122</v>
      </c>
      <c r="F20" s="1">
        <v>139</v>
      </c>
      <c r="G20" s="1">
        <v>104</v>
      </c>
      <c r="H20" s="1">
        <v>61</v>
      </c>
      <c r="I20" s="1">
        <v>115</v>
      </c>
      <c r="J20" s="1">
        <v>40</v>
      </c>
      <c r="K20" s="1">
        <v>68</v>
      </c>
      <c r="L20" s="1">
        <v>50</v>
      </c>
      <c r="M20" s="1">
        <v>57</v>
      </c>
      <c r="N20" s="1">
        <f t="shared" si="0"/>
        <v>79.916666666666671</v>
      </c>
    </row>
    <row r="21" spans="1:14" x14ac:dyDescent="0.25">
      <c r="A21">
        <v>1990</v>
      </c>
      <c r="B21" s="1">
        <v>81</v>
      </c>
      <c r="C21" s="1">
        <v>122</v>
      </c>
      <c r="D21" s="1">
        <v>56</v>
      </c>
      <c r="E21" s="1">
        <v>138</v>
      </c>
      <c r="F21" s="1">
        <v>105</v>
      </c>
      <c r="G21" s="1">
        <v>48</v>
      </c>
      <c r="H21" s="1">
        <v>81</v>
      </c>
      <c r="I21" s="1">
        <v>90</v>
      </c>
      <c r="J21" s="1">
        <v>65</v>
      </c>
      <c r="K21" s="1">
        <v>58</v>
      </c>
      <c r="L21" s="1">
        <v>36</v>
      </c>
      <c r="M21" s="1">
        <v>54</v>
      </c>
      <c r="N21" s="1">
        <f t="shared" si="0"/>
        <v>77.833333333333329</v>
      </c>
    </row>
    <row r="22" spans="1:14" x14ac:dyDescent="0.25">
      <c r="A22">
        <v>1991</v>
      </c>
      <c r="B22" s="1">
        <v>63</v>
      </c>
      <c r="C22" s="1">
        <v>41</v>
      </c>
      <c r="D22" s="1">
        <v>45</v>
      </c>
      <c r="E22" s="1">
        <v>39</v>
      </c>
      <c r="F22" s="1">
        <v>68</v>
      </c>
      <c r="G22" s="1">
        <v>71</v>
      </c>
      <c r="H22" s="1">
        <v>45</v>
      </c>
      <c r="I22" s="1">
        <v>52</v>
      </c>
      <c r="J22" s="1">
        <v>30</v>
      </c>
      <c r="K22" s="1">
        <v>53</v>
      </c>
      <c r="L22" s="1">
        <v>26</v>
      </c>
      <c r="M22" s="1">
        <v>54</v>
      </c>
      <c r="N22" s="1">
        <f t="shared" si="0"/>
        <v>48.916666666666664</v>
      </c>
    </row>
    <row r="23" spans="1:14" x14ac:dyDescent="0.25">
      <c r="A23">
        <v>1992</v>
      </c>
      <c r="B23" s="1">
        <v>99</v>
      </c>
      <c r="C23" s="1">
        <v>105</v>
      </c>
      <c r="D23" s="1">
        <v>104</v>
      </c>
      <c r="E23" s="1">
        <v>72</v>
      </c>
      <c r="F23" s="1">
        <v>109</v>
      </c>
      <c r="G23" s="1">
        <v>63</v>
      </c>
      <c r="H23" s="1">
        <v>61</v>
      </c>
      <c r="I23" s="1">
        <v>93</v>
      </c>
      <c r="J23" s="1">
        <v>36</v>
      </c>
      <c r="K23" s="1">
        <v>44</v>
      </c>
      <c r="L23" s="1">
        <v>11</v>
      </c>
      <c r="M23" s="1">
        <v>69</v>
      </c>
      <c r="N23" s="1">
        <f t="shared" si="0"/>
        <v>72.166666666666671</v>
      </c>
    </row>
    <row r="24" spans="1:14" x14ac:dyDescent="0.25">
      <c r="A24">
        <v>1993</v>
      </c>
      <c r="B24" s="1">
        <v>67</v>
      </c>
      <c r="C24" s="1">
        <v>101</v>
      </c>
      <c r="D24" s="1">
        <v>94</v>
      </c>
      <c r="E24" s="1">
        <v>28</v>
      </c>
      <c r="F24" s="1">
        <v>111</v>
      </c>
      <c r="G24" s="1">
        <v>69</v>
      </c>
      <c r="H24" s="1">
        <v>81</v>
      </c>
      <c r="I24" s="1">
        <v>106</v>
      </c>
      <c r="J24" s="1">
        <v>49</v>
      </c>
      <c r="K24" s="1">
        <v>60</v>
      </c>
      <c r="L24" s="1">
        <v>25</v>
      </c>
      <c r="M24" s="1">
        <v>58</v>
      </c>
      <c r="N24" s="1">
        <f t="shared" si="0"/>
        <v>70.75</v>
      </c>
    </row>
    <row r="25" spans="1:14" x14ac:dyDescent="0.25">
      <c r="A25">
        <v>1994</v>
      </c>
      <c r="B25" s="1">
        <v>72</v>
      </c>
      <c r="C25" s="1">
        <v>95</v>
      </c>
      <c r="D25" s="1">
        <v>104</v>
      </c>
      <c r="E25" s="1">
        <v>76</v>
      </c>
      <c r="F25" s="1">
        <v>154</v>
      </c>
      <c r="G25" s="1">
        <v>74</v>
      </c>
      <c r="H25" s="1">
        <v>150</v>
      </c>
      <c r="I25" s="1">
        <v>150</v>
      </c>
      <c r="J25" s="1">
        <v>62</v>
      </c>
      <c r="K25" s="1">
        <v>73</v>
      </c>
      <c r="L25" s="1">
        <v>36</v>
      </c>
      <c r="M25" s="1">
        <v>86</v>
      </c>
      <c r="N25" s="1">
        <f t="shared" si="0"/>
        <v>94.333333333333329</v>
      </c>
    </row>
    <row r="26" spans="1:14" x14ac:dyDescent="0.25">
      <c r="A26">
        <v>1995</v>
      </c>
      <c r="B26" s="1">
        <v>76</v>
      </c>
      <c r="C26" s="1">
        <v>101</v>
      </c>
      <c r="D26" s="1">
        <v>94</v>
      </c>
      <c r="E26" s="1">
        <v>51</v>
      </c>
      <c r="F26" s="1">
        <v>74</v>
      </c>
      <c r="G26" s="1">
        <v>83</v>
      </c>
      <c r="H26" s="1">
        <v>95</v>
      </c>
      <c r="I26" s="1">
        <v>62</v>
      </c>
      <c r="J26" s="1">
        <v>49</v>
      </c>
      <c r="K26" s="1">
        <v>51</v>
      </c>
      <c r="L26" s="1">
        <v>47</v>
      </c>
      <c r="M26" s="1">
        <v>0</v>
      </c>
      <c r="N26" s="1">
        <f t="shared" si="0"/>
        <v>65.25</v>
      </c>
    </row>
    <row r="27" spans="1:14" x14ac:dyDescent="0.25">
      <c r="A27">
        <v>1996</v>
      </c>
      <c r="B27" s="1">
        <v>75</v>
      </c>
      <c r="C27" s="1">
        <v>58</v>
      </c>
      <c r="D27" s="1">
        <v>77</v>
      </c>
      <c r="E27" s="1">
        <v>53</v>
      </c>
      <c r="F27" s="1">
        <v>97</v>
      </c>
      <c r="G27" s="1">
        <v>99</v>
      </c>
      <c r="H27" s="1">
        <v>79</v>
      </c>
      <c r="I27" s="1">
        <v>62</v>
      </c>
      <c r="J27" s="1">
        <v>46</v>
      </c>
      <c r="K27" s="1">
        <v>43</v>
      </c>
      <c r="L27" s="1">
        <v>15</v>
      </c>
      <c r="M27" s="1">
        <v>72</v>
      </c>
      <c r="N27" s="1">
        <f t="shared" si="0"/>
        <v>64.666666666666671</v>
      </c>
    </row>
    <row r="28" spans="1:14" x14ac:dyDescent="0.25">
      <c r="A28">
        <v>1997</v>
      </c>
      <c r="B28" s="1">
        <v>96</v>
      </c>
      <c r="C28" s="1">
        <v>86</v>
      </c>
      <c r="D28" s="1">
        <v>85</v>
      </c>
      <c r="E28" s="1">
        <v>38</v>
      </c>
      <c r="F28" s="1">
        <v>127</v>
      </c>
      <c r="G28" s="1">
        <v>109</v>
      </c>
      <c r="H28" s="1">
        <v>83</v>
      </c>
      <c r="I28" s="1">
        <v>0</v>
      </c>
      <c r="J28" s="1">
        <v>65</v>
      </c>
      <c r="K28" s="1">
        <v>60</v>
      </c>
      <c r="L28" s="1">
        <v>31</v>
      </c>
      <c r="M28" s="1">
        <v>84</v>
      </c>
      <c r="N28" s="1">
        <f t="shared" si="0"/>
        <v>72</v>
      </c>
    </row>
    <row r="29" spans="1:14" x14ac:dyDescent="0.25">
      <c r="A29">
        <v>1998</v>
      </c>
      <c r="B29" s="1">
        <v>85</v>
      </c>
      <c r="C29" s="1">
        <v>57</v>
      </c>
      <c r="D29" s="1">
        <v>65</v>
      </c>
      <c r="E29" s="1">
        <v>48</v>
      </c>
      <c r="F29" s="1">
        <v>98</v>
      </c>
      <c r="G29" s="1">
        <v>74</v>
      </c>
      <c r="H29" s="1">
        <v>111</v>
      </c>
      <c r="I29" s="1">
        <v>0</v>
      </c>
      <c r="J29" s="1">
        <v>20</v>
      </c>
      <c r="K29" s="1">
        <v>22</v>
      </c>
      <c r="L29" s="1">
        <v>0</v>
      </c>
      <c r="M29" s="1">
        <v>0</v>
      </c>
      <c r="N29" s="1">
        <f t="shared" si="0"/>
        <v>48.333333333333336</v>
      </c>
    </row>
    <row r="30" spans="1:14" x14ac:dyDescent="0.25">
      <c r="A30">
        <v>1999</v>
      </c>
      <c r="B30" s="1">
        <v>78</v>
      </c>
      <c r="C30" s="1">
        <v>72</v>
      </c>
      <c r="D30" s="1">
        <v>123</v>
      </c>
      <c r="E30" s="1">
        <v>47</v>
      </c>
      <c r="F30" s="1">
        <v>55</v>
      </c>
      <c r="G30" s="1">
        <v>99</v>
      </c>
      <c r="H30" s="1">
        <v>119</v>
      </c>
      <c r="I30" s="1">
        <v>93</v>
      </c>
      <c r="J30" s="1">
        <v>64</v>
      </c>
      <c r="K30" s="1">
        <v>75</v>
      </c>
      <c r="L30" s="1">
        <v>47</v>
      </c>
      <c r="M30" s="1">
        <v>38</v>
      </c>
      <c r="N30" s="1">
        <f t="shared" si="0"/>
        <v>75.833333333333329</v>
      </c>
    </row>
    <row r="31" spans="1:14" x14ac:dyDescent="0.25">
      <c r="A31">
        <v>2000</v>
      </c>
      <c r="B31" s="1">
        <v>60</v>
      </c>
      <c r="C31" s="1">
        <v>62</v>
      </c>
      <c r="D31" s="1">
        <v>88</v>
      </c>
      <c r="E31" s="1">
        <v>48</v>
      </c>
      <c r="F31" s="1">
        <v>51</v>
      </c>
      <c r="G31" s="1">
        <v>68</v>
      </c>
      <c r="H31" s="1">
        <v>96</v>
      </c>
      <c r="I31" s="1">
        <v>41</v>
      </c>
      <c r="J31" s="1">
        <v>36</v>
      </c>
      <c r="K31" s="1">
        <v>54</v>
      </c>
      <c r="L31" s="1">
        <v>11</v>
      </c>
      <c r="M31" s="1">
        <v>30</v>
      </c>
      <c r="N31" s="1">
        <f t="shared" si="0"/>
        <v>53.75</v>
      </c>
    </row>
    <row r="32" spans="1:14" x14ac:dyDescent="0.25">
      <c r="A32">
        <v>2001</v>
      </c>
      <c r="B32" s="1">
        <v>196</v>
      </c>
      <c r="C32" s="1">
        <v>149</v>
      </c>
      <c r="D32" s="1">
        <v>148</v>
      </c>
      <c r="E32" s="1">
        <v>234</v>
      </c>
      <c r="F32" s="1">
        <v>153</v>
      </c>
      <c r="G32" s="1">
        <v>128</v>
      </c>
      <c r="H32" s="1">
        <v>159</v>
      </c>
      <c r="I32" s="1">
        <v>133</v>
      </c>
      <c r="J32" s="1">
        <v>108</v>
      </c>
      <c r="K32" s="1">
        <v>87</v>
      </c>
      <c r="L32" s="1">
        <v>65</v>
      </c>
      <c r="M32" s="1">
        <v>177</v>
      </c>
      <c r="N32" s="1">
        <f t="shared" si="0"/>
        <v>144.75</v>
      </c>
    </row>
    <row r="33" spans="1:14" x14ac:dyDescent="0.25">
      <c r="A33">
        <v>2002</v>
      </c>
      <c r="B33" s="1">
        <v>72</v>
      </c>
      <c r="C33" s="1">
        <v>56</v>
      </c>
      <c r="D33" s="1">
        <v>58</v>
      </c>
      <c r="E33" s="1">
        <v>40</v>
      </c>
      <c r="F33" s="1">
        <v>52</v>
      </c>
      <c r="G33" s="1">
        <v>43</v>
      </c>
      <c r="H33" s="1">
        <v>99</v>
      </c>
      <c r="I33" s="1">
        <v>75</v>
      </c>
      <c r="J33" s="1">
        <v>37</v>
      </c>
      <c r="K33" s="1">
        <v>47</v>
      </c>
      <c r="L33" s="1">
        <v>29</v>
      </c>
      <c r="M33" s="1">
        <v>74</v>
      </c>
      <c r="N33" s="1">
        <f t="shared" si="0"/>
        <v>56.833333333333336</v>
      </c>
    </row>
    <row r="34" spans="1:14" x14ac:dyDescent="0.25">
      <c r="A34">
        <v>2003</v>
      </c>
      <c r="B34" s="1">
        <v>93</v>
      </c>
      <c r="C34" s="1">
        <v>134</v>
      </c>
      <c r="D34" s="1">
        <v>112</v>
      </c>
      <c r="E34" s="1">
        <v>73</v>
      </c>
      <c r="F34" s="1">
        <v>122</v>
      </c>
      <c r="G34" s="1">
        <v>81</v>
      </c>
      <c r="H34" s="1">
        <v>96</v>
      </c>
      <c r="I34" s="1">
        <v>48</v>
      </c>
      <c r="J34" s="1">
        <v>78</v>
      </c>
      <c r="K34" s="1">
        <v>56</v>
      </c>
      <c r="L34" s="1">
        <v>39</v>
      </c>
      <c r="M34" s="1">
        <v>93</v>
      </c>
      <c r="N34" s="1">
        <f t="shared" si="0"/>
        <v>85.416666666666671</v>
      </c>
    </row>
    <row r="35" spans="1:14" x14ac:dyDescent="0.25">
      <c r="A35">
        <v>2004</v>
      </c>
      <c r="B35" s="1">
        <v>67</v>
      </c>
      <c r="C35" s="1">
        <v>66</v>
      </c>
      <c r="D35" s="1">
        <v>55</v>
      </c>
      <c r="E35" s="1">
        <v>60</v>
      </c>
      <c r="F35" s="1">
        <v>53</v>
      </c>
      <c r="G35" s="1">
        <v>59</v>
      </c>
      <c r="H35" s="1">
        <v>65</v>
      </c>
      <c r="I35" s="1">
        <v>53</v>
      </c>
      <c r="J35" s="1">
        <v>54</v>
      </c>
      <c r="K35" s="1">
        <v>34</v>
      </c>
      <c r="L35" s="1">
        <v>31</v>
      </c>
      <c r="M35" s="1">
        <v>62</v>
      </c>
      <c r="N35" s="1">
        <f t="shared" si="0"/>
        <v>54.916666666666664</v>
      </c>
    </row>
    <row r="36" spans="1:14" x14ac:dyDescent="0.25">
      <c r="A36">
        <v>2005</v>
      </c>
      <c r="B36" s="1">
        <v>130</v>
      </c>
      <c r="C36" s="1">
        <v>108</v>
      </c>
      <c r="D36" s="1">
        <v>87</v>
      </c>
      <c r="E36" s="1">
        <v>61</v>
      </c>
      <c r="F36" s="1">
        <v>92</v>
      </c>
      <c r="G36" s="1">
        <v>99</v>
      </c>
      <c r="H36" s="1">
        <v>119</v>
      </c>
      <c r="I36" s="1">
        <v>76</v>
      </c>
      <c r="J36" s="1">
        <v>68</v>
      </c>
      <c r="K36" s="1">
        <v>86</v>
      </c>
      <c r="L36" s="1">
        <v>38</v>
      </c>
      <c r="M36" s="1">
        <v>73</v>
      </c>
      <c r="N36" s="1">
        <f t="shared" si="0"/>
        <v>86.416666666666671</v>
      </c>
    </row>
    <row r="37" spans="1:14" x14ac:dyDescent="0.25">
      <c r="A37">
        <v>2006</v>
      </c>
      <c r="B37" s="1">
        <v>55</v>
      </c>
      <c r="C37" s="1">
        <v>58</v>
      </c>
      <c r="D37" s="1">
        <v>40</v>
      </c>
      <c r="E37" s="1">
        <v>27</v>
      </c>
      <c r="F37" s="1">
        <v>43</v>
      </c>
      <c r="G37" s="1">
        <v>51</v>
      </c>
      <c r="H37" s="1">
        <v>63</v>
      </c>
      <c r="I37" s="1">
        <v>41</v>
      </c>
      <c r="J37" s="1">
        <v>45</v>
      </c>
      <c r="K37" s="1">
        <v>53</v>
      </c>
      <c r="L37" s="1">
        <v>56</v>
      </c>
      <c r="M37" s="1">
        <v>29</v>
      </c>
      <c r="N37" s="1">
        <f t="shared" si="0"/>
        <v>46.75</v>
      </c>
    </row>
    <row r="38" spans="1:14" x14ac:dyDescent="0.25">
      <c r="A38">
        <v>2007</v>
      </c>
      <c r="B38" s="1">
        <v>122</v>
      </c>
      <c r="C38" s="1">
        <v>146</v>
      </c>
      <c r="D38" s="1">
        <v>102</v>
      </c>
      <c r="E38" s="1">
        <v>75</v>
      </c>
      <c r="F38" s="1">
        <v>133</v>
      </c>
      <c r="G38" s="1">
        <v>148</v>
      </c>
      <c r="H38" s="1">
        <v>83</v>
      </c>
      <c r="I38" s="1">
        <v>62</v>
      </c>
      <c r="J38" s="1">
        <v>65</v>
      </c>
      <c r="K38" s="1">
        <v>67</v>
      </c>
      <c r="L38" s="1">
        <v>36</v>
      </c>
      <c r="M38" s="1">
        <v>73</v>
      </c>
      <c r="N38" s="1">
        <f t="shared" si="0"/>
        <v>92.666666666666671</v>
      </c>
    </row>
    <row r="39" spans="1:14" x14ac:dyDescent="0.25">
      <c r="A39">
        <v>2008</v>
      </c>
      <c r="B39" s="1">
        <v>58</v>
      </c>
      <c r="C39" s="1">
        <v>58</v>
      </c>
      <c r="D39" s="1">
        <v>30</v>
      </c>
      <c r="E39" s="1">
        <v>41</v>
      </c>
      <c r="F39" s="1">
        <v>45</v>
      </c>
      <c r="G39" s="1">
        <v>78</v>
      </c>
      <c r="H39" s="1">
        <v>74</v>
      </c>
      <c r="I39" s="1">
        <v>36</v>
      </c>
      <c r="J39" s="1">
        <v>27</v>
      </c>
      <c r="K39" s="1">
        <v>23</v>
      </c>
      <c r="L39" s="1">
        <v>18</v>
      </c>
      <c r="M39" s="1">
        <v>25</v>
      </c>
      <c r="N39" s="1">
        <f t="shared" si="0"/>
        <v>42.75</v>
      </c>
    </row>
    <row r="40" spans="1:14" x14ac:dyDescent="0.25">
      <c r="A40">
        <v>2009</v>
      </c>
      <c r="B40" s="1">
        <v>48</v>
      </c>
      <c r="C40" s="1">
        <v>54</v>
      </c>
      <c r="D40" s="1">
        <v>34</v>
      </c>
      <c r="E40" s="1">
        <v>70</v>
      </c>
      <c r="F40" s="1">
        <v>42</v>
      </c>
      <c r="G40" s="1">
        <v>69</v>
      </c>
      <c r="H40" s="1">
        <v>35</v>
      </c>
      <c r="I40" s="1">
        <v>40</v>
      </c>
      <c r="J40" s="1">
        <v>37</v>
      </c>
      <c r="K40" s="1">
        <v>49</v>
      </c>
      <c r="L40" s="1">
        <v>25</v>
      </c>
      <c r="M40" s="1">
        <v>31</v>
      </c>
      <c r="N40" s="1">
        <f t="shared" si="0"/>
        <v>44.5</v>
      </c>
    </row>
    <row r="41" spans="1:14" x14ac:dyDescent="0.25">
      <c r="A41">
        <v>2010</v>
      </c>
      <c r="B41" s="1">
        <v>70</v>
      </c>
      <c r="C41" s="1">
        <v>68</v>
      </c>
      <c r="D41" s="1">
        <v>67</v>
      </c>
      <c r="E41" s="1">
        <v>70</v>
      </c>
      <c r="F41" s="1">
        <v>78</v>
      </c>
      <c r="G41" s="1">
        <v>118</v>
      </c>
      <c r="H41" s="1">
        <v>64</v>
      </c>
      <c r="I41" s="1">
        <v>78</v>
      </c>
      <c r="J41" s="1">
        <v>72</v>
      </c>
      <c r="K41" s="1">
        <v>70</v>
      </c>
      <c r="L41" s="1">
        <v>64</v>
      </c>
      <c r="M41" s="1">
        <v>53</v>
      </c>
      <c r="N41" s="1">
        <f t="shared" si="0"/>
        <v>72.666666666666671</v>
      </c>
    </row>
    <row r="42" spans="1:14" x14ac:dyDescent="0.25">
      <c r="A42">
        <v>2011</v>
      </c>
      <c r="B42" s="1">
        <v>85</v>
      </c>
      <c r="C42" s="1">
        <v>94</v>
      </c>
      <c r="D42" s="1">
        <v>67</v>
      </c>
      <c r="E42" s="1">
        <v>144</v>
      </c>
      <c r="F42" s="1">
        <v>48</v>
      </c>
      <c r="G42" s="1">
        <v>70</v>
      </c>
      <c r="H42" s="1">
        <v>78</v>
      </c>
      <c r="I42" s="1">
        <v>44</v>
      </c>
      <c r="J42" s="1">
        <v>39</v>
      </c>
      <c r="K42" s="1">
        <v>36</v>
      </c>
      <c r="L42" s="1">
        <v>16</v>
      </c>
      <c r="M42" s="1">
        <v>62</v>
      </c>
      <c r="N42" s="1">
        <f t="shared" si="0"/>
        <v>65.25</v>
      </c>
    </row>
    <row r="43" spans="1:14" x14ac:dyDescent="0.25">
      <c r="A43">
        <v>2012</v>
      </c>
      <c r="B43" s="1">
        <v>90</v>
      </c>
      <c r="C43" s="1">
        <v>54</v>
      </c>
      <c r="D43" s="1">
        <v>22</v>
      </c>
      <c r="E43" s="1">
        <v>218</v>
      </c>
      <c r="F43" s="1">
        <v>0</v>
      </c>
      <c r="G43" s="1">
        <v>53</v>
      </c>
      <c r="H43" s="1">
        <v>45</v>
      </c>
      <c r="I43" s="1">
        <v>34</v>
      </c>
      <c r="J43" s="1">
        <v>11</v>
      </c>
      <c r="K43" s="1">
        <v>55</v>
      </c>
      <c r="L43" s="1">
        <v>21</v>
      </c>
      <c r="M43" s="1">
        <v>63</v>
      </c>
      <c r="N43" s="1">
        <f t="shared" si="0"/>
        <v>55.5</v>
      </c>
    </row>
    <row r="44" spans="1:14" x14ac:dyDescent="0.25">
      <c r="A44">
        <v>2013</v>
      </c>
      <c r="B44" s="1">
        <v>119</v>
      </c>
      <c r="C44" s="1">
        <v>97</v>
      </c>
      <c r="D44" s="1">
        <v>78</v>
      </c>
      <c r="E44" s="1">
        <v>161</v>
      </c>
      <c r="F44" s="1">
        <v>87</v>
      </c>
      <c r="G44" s="1">
        <v>141</v>
      </c>
      <c r="H44" s="1">
        <v>113</v>
      </c>
      <c r="I44" s="1">
        <v>118</v>
      </c>
      <c r="J44" s="1">
        <v>69</v>
      </c>
      <c r="K44" s="1">
        <v>102</v>
      </c>
      <c r="L44" s="1">
        <v>75</v>
      </c>
      <c r="M44" s="1">
        <v>99</v>
      </c>
      <c r="N44" s="1">
        <f t="shared" si="0"/>
        <v>104.91666666666667</v>
      </c>
    </row>
    <row r="45" spans="1:14" x14ac:dyDescent="0.25">
      <c r="A45">
        <v>2014</v>
      </c>
      <c r="B45" s="1">
        <v>91</v>
      </c>
      <c r="C45" s="1">
        <v>80</v>
      </c>
      <c r="D45" s="1">
        <v>55</v>
      </c>
      <c r="E45" s="1">
        <v>114</v>
      </c>
      <c r="F45" s="1">
        <v>70</v>
      </c>
      <c r="G45" s="1">
        <v>151</v>
      </c>
      <c r="H45" s="1">
        <v>73</v>
      </c>
      <c r="I45" s="1">
        <v>62</v>
      </c>
      <c r="J45" s="1">
        <v>45</v>
      </c>
      <c r="K45" s="1">
        <v>73</v>
      </c>
      <c r="L45" s="1">
        <v>27</v>
      </c>
      <c r="M45" s="1">
        <v>60</v>
      </c>
      <c r="N45" s="1">
        <f t="shared" si="0"/>
        <v>75.083333333333329</v>
      </c>
    </row>
    <row r="46" spans="1:14" x14ac:dyDescent="0.25">
      <c r="A46">
        <v>2015</v>
      </c>
      <c r="B46" s="1">
        <v>119</v>
      </c>
      <c r="C46" s="1">
        <v>101</v>
      </c>
      <c r="D46" s="1">
        <v>68</v>
      </c>
      <c r="E46" s="1">
        <v>129</v>
      </c>
      <c r="F46" s="1">
        <v>99</v>
      </c>
      <c r="G46" s="1">
        <v>205</v>
      </c>
      <c r="H46" s="1">
        <v>108</v>
      </c>
      <c r="I46" s="1">
        <v>116</v>
      </c>
      <c r="J46" s="1">
        <v>54</v>
      </c>
      <c r="K46" s="1">
        <v>96</v>
      </c>
      <c r="L46" s="1">
        <v>26</v>
      </c>
      <c r="M46" s="1">
        <v>90</v>
      </c>
      <c r="N46" s="1">
        <f t="shared" si="0"/>
        <v>100.91666666666667</v>
      </c>
    </row>
    <row r="47" spans="1:14" x14ac:dyDescent="0.25">
      <c r="A47">
        <v>2016</v>
      </c>
      <c r="B47" s="1">
        <v>156</v>
      </c>
      <c r="C47" s="1">
        <v>122</v>
      </c>
      <c r="D47" s="1">
        <v>71</v>
      </c>
      <c r="E47" s="1">
        <v>81</v>
      </c>
      <c r="F47" s="1">
        <v>96</v>
      </c>
      <c r="G47" s="1">
        <v>189</v>
      </c>
      <c r="H47" s="1">
        <v>126</v>
      </c>
      <c r="I47" s="1">
        <v>154</v>
      </c>
      <c r="J47" s="1">
        <v>65</v>
      </c>
      <c r="K47" s="1">
        <v>157</v>
      </c>
      <c r="L47" s="1">
        <v>30</v>
      </c>
      <c r="M47" s="1">
        <v>118</v>
      </c>
      <c r="N47" s="1">
        <f t="shared" si="0"/>
        <v>113.75</v>
      </c>
    </row>
    <row r="48" spans="1:14" x14ac:dyDescent="0.25">
      <c r="A48">
        <v>2017</v>
      </c>
      <c r="B48" s="1">
        <v>114</v>
      </c>
      <c r="C48" s="1">
        <v>104</v>
      </c>
      <c r="D48" s="1">
        <v>68</v>
      </c>
      <c r="E48" s="1">
        <v>211</v>
      </c>
      <c r="F48" s="1">
        <v>108</v>
      </c>
      <c r="G48" s="1">
        <v>212</v>
      </c>
      <c r="H48" s="1">
        <v>172</v>
      </c>
      <c r="I48" s="1">
        <v>107</v>
      </c>
      <c r="J48" s="1">
        <v>63</v>
      </c>
      <c r="K48" s="1">
        <v>68</v>
      </c>
      <c r="L48" s="1">
        <v>40</v>
      </c>
      <c r="M48" s="1">
        <v>73</v>
      </c>
      <c r="N48" s="1">
        <f t="shared" si="0"/>
        <v>111.66666666666667</v>
      </c>
    </row>
    <row r="49" spans="1:14" x14ac:dyDescent="0.25">
      <c r="A49">
        <v>2018</v>
      </c>
      <c r="B49" s="1">
        <v>63</v>
      </c>
      <c r="C49" s="1">
        <v>43</v>
      </c>
      <c r="D49" s="1">
        <v>50</v>
      </c>
      <c r="E49" s="1">
        <v>90</v>
      </c>
      <c r="F49" s="1">
        <v>40</v>
      </c>
      <c r="G49" s="1">
        <v>53</v>
      </c>
      <c r="H49" s="1">
        <v>81</v>
      </c>
      <c r="I49" s="1">
        <v>35</v>
      </c>
      <c r="J49" s="1">
        <v>30</v>
      </c>
      <c r="K49" s="1">
        <v>50</v>
      </c>
      <c r="L49" s="1">
        <v>23</v>
      </c>
      <c r="M49" s="1">
        <v>36</v>
      </c>
      <c r="N49" s="1">
        <f t="shared" si="0"/>
        <v>49.5</v>
      </c>
    </row>
    <row r="50" spans="1:14" x14ac:dyDescent="0.25">
      <c r="A50">
        <v>2019</v>
      </c>
      <c r="B50" s="1">
        <v>96</v>
      </c>
      <c r="C50" s="1">
        <v>97</v>
      </c>
      <c r="D50" s="1">
        <v>48</v>
      </c>
      <c r="E50" s="1">
        <v>70</v>
      </c>
      <c r="F50" s="1">
        <v>98</v>
      </c>
      <c r="G50" s="1">
        <v>94</v>
      </c>
      <c r="H50" s="1">
        <v>118</v>
      </c>
      <c r="I50" s="1">
        <v>90</v>
      </c>
      <c r="J50" s="1">
        <v>58</v>
      </c>
      <c r="K50" s="1">
        <v>59</v>
      </c>
      <c r="L50" s="1">
        <v>43</v>
      </c>
      <c r="M50" s="1">
        <v>84</v>
      </c>
      <c r="N50" s="1">
        <f t="shared" si="0"/>
        <v>79.583333333333329</v>
      </c>
    </row>
    <row r="51" spans="1:14" x14ac:dyDescent="0.25">
      <c r="A51">
        <v>2020</v>
      </c>
      <c r="B51" s="1">
        <v>104</v>
      </c>
      <c r="C51" s="1">
        <v>108</v>
      </c>
      <c r="D51" s="1">
        <v>70</v>
      </c>
      <c r="E51" s="1">
        <v>78</v>
      </c>
      <c r="F51" s="1">
        <v>84</v>
      </c>
      <c r="G51" s="1">
        <v>114</v>
      </c>
      <c r="H51" s="1">
        <v>95</v>
      </c>
      <c r="I51" s="1">
        <v>116</v>
      </c>
      <c r="J51" s="1">
        <v>38</v>
      </c>
      <c r="K51" s="1">
        <v>57</v>
      </c>
      <c r="L51" s="1">
        <v>35</v>
      </c>
      <c r="M51" s="1">
        <v>52</v>
      </c>
      <c r="N51" s="1">
        <f t="shared" si="0"/>
        <v>79.25</v>
      </c>
    </row>
    <row r="52" spans="1:14" x14ac:dyDescent="0.25">
      <c r="A52">
        <v>2021</v>
      </c>
      <c r="B52" s="1">
        <v>144</v>
      </c>
      <c r="C52" s="1">
        <v>22</v>
      </c>
      <c r="D52" s="1">
        <v>73</v>
      </c>
      <c r="E52" s="1">
        <v>94</v>
      </c>
      <c r="F52" s="1">
        <v>115</v>
      </c>
      <c r="G52" s="1">
        <v>172</v>
      </c>
      <c r="H52" s="1">
        <v>155</v>
      </c>
      <c r="I52" s="1">
        <v>179</v>
      </c>
      <c r="J52" s="1">
        <v>57</v>
      </c>
      <c r="K52" s="1">
        <v>144</v>
      </c>
      <c r="L52" s="1">
        <v>58</v>
      </c>
      <c r="M52" s="1">
        <v>129</v>
      </c>
      <c r="N52" s="1">
        <f t="shared" si="0"/>
        <v>111.83333333333333</v>
      </c>
    </row>
    <row r="53" spans="1:14" x14ac:dyDescent="0.25">
      <c r="A53">
        <v>2022</v>
      </c>
      <c r="B53" s="1">
        <v>81</v>
      </c>
      <c r="C53" s="1">
        <v>0</v>
      </c>
      <c r="D53" s="1">
        <v>56</v>
      </c>
      <c r="E53" s="1">
        <v>101</v>
      </c>
      <c r="F53" s="1">
        <v>69</v>
      </c>
      <c r="G53" s="1">
        <v>86</v>
      </c>
      <c r="H53" s="1">
        <v>81</v>
      </c>
      <c r="I53" s="1">
        <v>84</v>
      </c>
      <c r="J53" s="1">
        <v>40</v>
      </c>
      <c r="K53" s="1">
        <v>88</v>
      </c>
      <c r="L53" s="1">
        <v>32</v>
      </c>
      <c r="M53" s="1">
        <v>50</v>
      </c>
      <c r="N53" s="1">
        <f t="shared" si="0"/>
        <v>64</v>
      </c>
    </row>
    <row r="54" spans="1:14" x14ac:dyDescent="0.25">
      <c r="A54">
        <v>2023</v>
      </c>
      <c r="B54" s="1">
        <v>68</v>
      </c>
      <c r="C54" s="1">
        <v>0</v>
      </c>
      <c r="D54" s="1">
        <v>71</v>
      </c>
      <c r="E54" s="1">
        <v>143</v>
      </c>
      <c r="F54" s="1">
        <v>77</v>
      </c>
      <c r="G54" s="1">
        <v>147</v>
      </c>
      <c r="H54" s="1">
        <v>137</v>
      </c>
      <c r="I54" s="1">
        <v>89</v>
      </c>
      <c r="J54" s="1">
        <v>30</v>
      </c>
      <c r="K54" s="1">
        <v>102</v>
      </c>
      <c r="L54" s="1">
        <v>25</v>
      </c>
      <c r="M54" s="1">
        <v>60</v>
      </c>
      <c r="N54" s="1">
        <f t="shared" si="0"/>
        <v>79.083333333333329</v>
      </c>
    </row>
    <row r="55" spans="1:14" x14ac:dyDescent="0.25">
      <c r="A55">
        <v>2024</v>
      </c>
      <c r="B55" s="1">
        <v>122.1</v>
      </c>
      <c r="C55" s="1">
        <v>0</v>
      </c>
      <c r="D55" s="1">
        <v>97.5</v>
      </c>
      <c r="E55" s="1">
        <v>159.9</v>
      </c>
      <c r="F55" s="1">
        <v>121.8</v>
      </c>
      <c r="G55" s="1">
        <v>132.6</v>
      </c>
      <c r="H55" s="1">
        <v>151.19999999999999</v>
      </c>
      <c r="I55" s="1">
        <v>136.80000000000001</v>
      </c>
      <c r="J55" s="1">
        <v>81.900000000000006</v>
      </c>
      <c r="K55" s="1">
        <v>118.4</v>
      </c>
      <c r="L55" s="1">
        <v>83</v>
      </c>
      <c r="M55" s="1">
        <v>124.7</v>
      </c>
      <c r="N55" s="1">
        <f t="shared" si="0"/>
        <v>110.82499999999999</v>
      </c>
    </row>
    <row r="56" spans="1:14" x14ac:dyDescent="0.25">
      <c r="A56">
        <v>2025</v>
      </c>
      <c r="B56" s="1">
        <v>68</v>
      </c>
      <c r="C56" s="1"/>
      <c r="D56" s="1">
        <v>67</v>
      </c>
      <c r="E56" s="1">
        <v>112</v>
      </c>
      <c r="F56" s="1">
        <v>97</v>
      </c>
      <c r="G56" s="1">
        <v>108</v>
      </c>
      <c r="H56" s="1">
        <v>98</v>
      </c>
      <c r="I56" s="1">
        <v>127</v>
      </c>
      <c r="J56" s="1">
        <v>57</v>
      </c>
      <c r="K56" s="1">
        <v>102</v>
      </c>
      <c r="L56" s="1">
        <v>39</v>
      </c>
      <c r="M56" s="1">
        <v>67</v>
      </c>
      <c r="N56" s="1">
        <f t="shared" si="0"/>
        <v>85.63636363636364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6"/>
  <sheetViews>
    <sheetView topLeftCell="B1" workbookViewId="0">
      <selection activeCell="P1" sqref="P1"/>
    </sheetView>
  </sheetViews>
  <sheetFormatPr defaultRowHeight="15" x14ac:dyDescent="0.25"/>
  <cols>
    <col min="2" max="3" width="9.28515625" bestFit="1" customWidth="1"/>
    <col min="4" max="4" width="9.5703125" bestFit="1" customWidth="1"/>
    <col min="5" max="13" width="9.28515625" bestFit="1" customWidth="1"/>
    <col min="14" max="14" width="9.5703125" bestFit="1" customWidth="1"/>
    <col min="15" max="15" width="9.28515625" bestFit="1" customWidth="1"/>
  </cols>
  <sheetData>
    <row r="1" spans="1:16" ht="75" x14ac:dyDescent="0.25">
      <c r="B1" t="s">
        <v>194</v>
      </c>
      <c r="C1" t="s">
        <v>195</v>
      </c>
      <c r="D1" t="s">
        <v>196</v>
      </c>
      <c r="E1" t="s">
        <v>197</v>
      </c>
      <c r="F1" t="s">
        <v>198</v>
      </c>
      <c r="G1" t="s">
        <v>199</v>
      </c>
      <c r="H1" t="s">
        <v>200</v>
      </c>
      <c r="I1" t="s">
        <v>201</v>
      </c>
      <c r="J1" t="s">
        <v>202</v>
      </c>
      <c r="K1" t="s">
        <v>203</v>
      </c>
      <c r="L1" t="s">
        <v>204</v>
      </c>
      <c r="M1" t="s">
        <v>205</v>
      </c>
      <c r="N1" t="s">
        <v>206</v>
      </c>
      <c r="O1" t="s">
        <v>207</v>
      </c>
      <c r="P1" s="3" t="s">
        <v>213</v>
      </c>
    </row>
    <row r="2" spans="1:16" x14ac:dyDescent="0.25">
      <c r="A2">
        <v>1971</v>
      </c>
      <c r="B2">
        <v>17</v>
      </c>
      <c r="C2" s="1">
        <v>0</v>
      </c>
      <c r="D2" s="1">
        <v>29</v>
      </c>
      <c r="E2" s="1">
        <v>0</v>
      </c>
      <c r="F2" s="1">
        <v>34</v>
      </c>
      <c r="G2" s="1">
        <v>0</v>
      </c>
      <c r="H2" s="1">
        <v>70</v>
      </c>
      <c r="I2" s="1">
        <v>20</v>
      </c>
      <c r="J2" s="1">
        <v>19</v>
      </c>
      <c r="K2" s="1"/>
      <c r="L2" s="1">
        <v>24</v>
      </c>
      <c r="M2" s="1">
        <v>0</v>
      </c>
      <c r="N2" s="1">
        <v>218</v>
      </c>
      <c r="O2" s="1">
        <v>26</v>
      </c>
      <c r="P2" s="1">
        <f>AVERAGE(B2:O2)</f>
        <v>35.153846153846153</v>
      </c>
    </row>
    <row r="3" spans="1:16" x14ac:dyDescent="0.25">
      <c r="A3">
        <v>1972</v>
      </c>
      <c r="B3">
        <v>68</v>
      </c>
      <c r="C3" s="1">
        <v>0</v>
      </c>
      <c r="D3" s="1">
        <v>185</v>
      </c>
      <c r="E3" s="1">
        <v>0</v>
      </c>
      <c r="F3" s="1">
        <v>72</v>
      </c>
      <c r="G3" s="1">
        <v>0</v>
      </c>
      <c r="H3" s="1">
        <v>138</v>
      </c>
      <c r="I3" s="1">
        <v>34</v>
      </c>
      <c r="J3" s="1">
        <v>36</v>
      </c>
      <c r="K3" s="1"/>
      <c r="L3" s="1">
        <v>65</v>
      </c>
      <c r="M3" s="1">
        <v>0</v>
      </c>
      <c r="N3" s="1">
        <v>301</v>
      </c>
      <c r="O3" s="1">
        <v>101</v>
      </c>
      <c r="P3" s="1">
        <f t="shared" ref="P3:P56" si="0">AVERAGE(B3:O3)</f>
        <v>76.92307692307692</v>
      </c>
    </row>
    <row r="4" spans="1:16" x14ac:dyDescent="0.25">
      <c r="A4">
        <v>1973</v>
      </c>
      <c r="B4">
        <v>21</v>
      </c>
      <c r="C4" s="1">
        <v>0</v>
      </c>
      <c r="D4" s="1">
        <v>0</v>
      </c>
      <c r="E4" s="1">
        <v>0</v>
      </c>
      <c r="F4" s="1">
        <v>53</v>
      </c>
      <c r="G4" s="1">
        <v>0</v>
      </c>
      <c r="H4" s="1">
        <v>110</v>
      </c>
      <c r="I4" s="1">
        <v>10</v>
      </c>
      <c r="J4" s="1">
        <v>22</v>
      </c>
      <c r="K4" s="1"/>
      <c r="L4" s="1">
        <v>60</v>
      </c>
      <c r="M4" s="1">
        <v>0</v>
      </c>
      <c r="N4" s="1">
        <v>238</v>
      </c>
      <c r="O4" s="1">
        <v>40</v>
      </c>
      <c r="P4" s="1">
        <f t="shared" si="0"/>
        <v>42.615384615384613</v>
      </c>
    </row>
    <row r="5" spans="1:16" x14ac:dyDescent="0.25">
      <c r="A5">
        <v>1974</v>
      </c>
      <c r="B5">
        <v>53</v>
      </c>
      <c r="C5" s="1">
        <v>0</v>
      </c>
      <c r="D5" s="1">
        <v>0</v>
      </c>
      <c r="E5" s="1">
        <v>0</v>
      </c>
      <c r="F5" s="1">
        <v>89</v>
      </c>
      <c r="G5" s="1">
        <v>0</v>
      </c>
      <c r="H5" s="1">
        <v>137</v>
      </c>
      <c r="I5" s="1">
        <v>16</v>
      </c>
      <c r="J5" s="1">
        <v>18</v>
      </c>
      <c r="K5" s="1"/>
      <c r="L5" s="1">
        <v>55</v>
      </c>
      <c r="M5" s="1">
        <v>0</v>
      </c>
      <c r="N5" s="1">
        <v>216</v>
      </c>
      <c r="O5" s="1">
        <v>103</v>
      </c>
      <c r="P5" s="1">
        <f t="shared" si="0"/>
        <v>52.846153846153847</v>
      </c>
    </row>
    <row r="6" spans="1:16" x14ac:dyDescent="0.25">
      <c r="A6">
        <v>1975</v>
      </c>
      <c r="B6">
        <v>16</v>
      </c>
      <c r="C6" s="1">
        <v>0</v>
      </c>
      <c r="D6" s="1">
        <v>183</v>
      </c>
      <c r="E6" s="1">
        <v>0</v>
      </c>
      <c r="F6" s="1">
        <v>16</v>
      </c>
      <c r="G6" s="1">
        <v>0</v>
      </c>
      <c r="H6" s="1">
        <v>122</v>
      </c>
      <c r="I6" s="1">
        <v>0</v>
      </c>
      <c r="J6" s="1">
        <v>10</v>
      </c>
      <c r="K6" s="1"/>
      <c r="L6" s="1">
        <v>29</v>
      </c>
      <c r="M6" s="1">
        <v>0</v>
      </c>
      <c r="N6" s="1">
        <v>322</v>
      </c>
      <c r="O6" s="1">
        <v>37</v>
      </c>
      <c r="P6" s="1">
        <f t="shared" si="0"/>
        <v>56.53846153846154</v>
      </c>
    </row>
    <row r="7" spans="1:16" x14ac:dyDescent="0.25">
      <c r="A7">
        <v>1976</v>
      </c>
      <c r="B7">
        <v>0</v>
      </c>
      <c r="C7" s="1">
        <v>0</v>
      </c>
      <c r="D7" s="1">
        <v>18</v>
      </c>
      <c r="E7" s="1">
        <v>0</v>
      </c>
      <c r="F7" s="1">
        <v>10</v>
      </c>
      <c r="G7" s="1">
        <v>0</v>
      </c>
      <c r="H7" s="1">
        <v>35</v>
      </c>
      <c r="I7" s="1">
        <v>48</v>
      </c>
      <c r="J7" s="1">
        <v>8</v>
      </c>
      <c r="K7" s="1"/>
      <c r="L7" s="1">
        <v>18</v>
      </c>
      <c r="M7" s="1">
        <v>0</v>
      </c>
      <c r="N7" s="1">
        <v>371</v>
      </c>
      <c r="O7" s="1">
        <v>7</v>
      </c>
      <c r="P7" s="1">
        <f t="shared" si="0"/>
        <v>39.615384615384613</v>
      </c>
    </row>
    <row r="8" spans="1:16" x14ac:dyDescent="0.25">
      <c r="A8">
        <v>1977</v>
      </c>
      <c r="B8">
        <v>46</v>
      </c>
      <c r="C8" s="1">
        <v>0</v>
      </c>
      <c r="D8" s="1">
        <v>62</v>
      </c>
      <c r="E8" s="1">
        <v>0</v>
      </c>
      <c r="F8" s="1">
        <v>50</v>
      </c>
      <c r="G8" s="1">
        <v>0</v>
      </c>
      <c r="H8" s="1">
        <v>98</v>
      </c>
      <c r="I8" s="1">
        <v>48</v>
      </c>
      <c r="J8" s="1">
        <v>55</v>
      </c>
      <c r="K8" s="1"/>
      <c r="L8" s="1">
        <v>80</v>
      </c>
      <c r="M8" s="1">
        <v>0</v>
      </c>
      <c r="N8" s="1">
        <v>180</v>
      </c>
      <c r="O8" s="1">
        <v>70</v>
      </c>
      <c r="P8" s="1">
        <f t="shared" si="0"/>
        <v>53</v>
      </c>
    </row>
    <row r="9" spans="1:16" x14ac:dyDescent="0.25">
      <c r="A9">
        <v>1978</v>
      </c>
      <c r="B9">
        <v>14.5</v>
      </c>
      <c r="C9" s="1">
        <v>49.4</v>
      </c>
      <c r="D9" s="1">
        <v>115</v>
      </c>
      <c r="E9" s="1">
        <v>15.6</v>
      </c>
      <c r="F9" s="1">
        <v>48.1</v>
      </c>
      <c r="G9" s="1">
        <v>16.100000000000001</v>
      </c>
      <c r="H9" s="1">
        <v>101.4</v>
      </c>
      <c r="I9" s="1">
        <v>42.08</v>
      </c>
      <c r="J9" s="1">
        <v>7</v>
      </c>
      <c r="K9" s="1"/>
      <c r="L9" s="1">
        <v>39.200000000000003</v>
      </c>
      <c r="M9" s="1">
        <v>19.2</v>
      </c>
      <c r="N9" s="1">
        <v>348.3</v>
      </c>
      <c r="O9" s="1">
        <v>33</v>
      </c>
      <c r="P9" s="1">
        <f t="shared" si="0"/>
        <v>65.298461538461538</v>
      </c>
    </row>
    <row r="10" spans="1:16" x14ac:dyDescent="0.25">
      <c r="A10">
        <v>1979</v>
      </c>
      <c r="B10">
        <v>34.24</v>
      </c>
      <c r="C10" s="1">
        <v>44.2</v>
      </c>
      <c r="D10" s="1">
        <v>37.4</v>
      </c>
      <c r="E10" s="1">
        <v>40.03</v>
      </c>
      <c r="F10" s="1">
        <v>32</v>
      </c>
      <c r="G10" s="1">
        <v>19.2</v>
      </c>
      <c r="H10" s="1">
        <v>70.400000000000006</v>
      </c>
      <c r="I10" s="1">
        <v>22.4</v>
      </c>
      <c r="J10" s="1">
        <v>19.2</v>
      </c>
      <c r="K10" s="1"/>
      <c r="L10" s="1">
        <v>40.299999999999997</v>
      </c>
      <c r="M10" s="1">
        <v>21.6</v>
      </c>
      <c r="N10" s="1">
        <v>330.6</v>
      </c>
      <c r="O10" s="1">
        <v>39.6</v>
      </c>
      <c r="P10" s="1">
        <f t="shared" si="0"/>
        <v>57.782307692307697</v>
      </c>
    </row>
    <row r="11" spans="1:16" x14ac:dyDescent="0.25">
      <c r="A11">
        <v>1980</v>
      </c>
      <c r="B11">
        <v>20.9</v>
      </c>
      <c r="C11" s="1">
        <v>55</v>
      </c>
      <c r="D11" s="1">
        <v>83.6</v>
      </c>
      <c r="E11" s="1">
        <v>13.5</v>
      </c>
      <c r="F11" s="1">
        <v>27.3</v>
      </c>
      <c r="G11" s="1">
        <v>10.8</v>
      </c>
      <c r="H11" s="1">
        <v>110.4</v>
      </c>
      <c r="I11" s="1">
        <v>19.600000000000001</v>
      </c>
      <c r="J11" s="1">
        <v>13.6</v>
      </c>
      <c r="K11" s="1"/>
      <c r="L11" s="1">
        <v>28</v>
      </c>
      <c r="M11" s="1">
        <v>21</v>
      </c>
      <c r="N11" s="1">
        <v>294</v>
      </c>
      <c r="O11" s="1">
        <v>32.299999999999997</v>
      </c>
      <c r="P11" s="1">
        <f t="shared" si="0"/>
        <v>56.153846153846153</v>
      </c>
    </row>
    <row r="12" spans="1:16" x14ac:dyDescent="0.25">
      <c r="A12">
        <v>1981</v>
      </c>
      <c r="B12">
        <v>0</v>
      </c>
      <c r="C12" s="1">
        <v>23.8</v>
      </c>
      <c r="D12" s="1">
        <v>84</v>
      </c>
      <c r="E12" s="1">
        <v>0</v>
      </c>
      <c r="F12" s="1">
        <v>8.8000000000000007</v>
      </c>
      <c r="G12" s="1">
        <v>0</v>
      </c>
      <c r="H12" s="1">
        <v>30</v>
      </c>
      <c r="I12" s="1">
        <v>0</v>
      </c>
      <c r="J12" s="1">
        <v>0</v>
      </c>
      <c r="K12" s="1"/>
      <c r="L12" s="1">
        <v>17</v>
      </c>
      <c r="M12" s="1">
        <v>8.4</v>
      </c>
      <c r="N12" s="1">
        <v>186.3</v>
      </c>
      <c r="O12" s="1">
        <v>11.7</v>
      </c>
      <c r="P12" s="1">
        <f t="shared" si="0"/>
        <v>28.46153846153846</v>
      </c>
    </row>
    <row r="13" spans="1:16" x14ac:dyDescent="0.25">
      <c r="A13">
        <v>1982</v>
      </c>
      <c r="B13">
        <v>23.8</v>
      </c>
      <c r="C13" s="1">
        <v>46.4</v>
      </c>
      <c r="D13" s="1">
        <v>151.19999999999999</v>
      </c>
      <c r="E13" s="1">
        <v>0</v>
      </c>
      <c r="F13" s="1">
        <v>9.1</v>
      </c>
      <c r="G13" s="1">
        <v>20</v>
      </c>
      <c r="H13" s="1">
        <v>64.599999999999994</v>
      </c>
      <c r="I13" s="1">
        <v>39.61</v>
      </c>
      <c r="J13" s="1">
        <v>12.6</v>
      </c>
      <c r="K13" s="1"/>
      <c r="L13" s="1">
        <v>25.9</v>
      </c>
      <c r="M13" s="1">
        <v>12.5</v>
      </c>
      <c r="N13" s="1">
        <v>221</v>
      </c>
      <c r="O13" s="1">
        <v>18.2</v>
      </c>
      <c r="P13" s="1">
        <f t="shared" si="0"/>
        <v>49.608461538461547</v>
      </c>
    </row>
    <row r="14" spans="1:16" x14ac:dyDescent="0.25">
      <c r="A14">
        <v>1983</v>
      </c>
      <c r="B14">
        <v>29.7</v>
      </c>
      <c r="C14" s="1">
        <v>40.299999999999997</v>
      </c>
      <c r="D14" s="1">
        <v>61.2</v>
      </c>
      <c r="E14" s="1">
        <v>22.5</v>
      </c>
      <c r="F14" s="1">
        <v>25.6</v>
      </c>
      <c r="G14" s="1">
        <v>0</v>
      </c>
      <c r="H14" s="1">
        <v>71.3</v>
      </c>
      <c r="I14" s="1">
        <v>0</v>
      </c>
      <c r="J14" s="1">
        <v>7.7</v>
      </c>
      <c r="K14" s="1"/>
      <c r="L14" s="1">
        <v>38.4</v>
      </c>
      <c r="M14" s="1">
        <v>31</v>
      </c>
      <c r="N14" s="1">
        <v>190.4</v>
      </c>
      <c r="O14" s="1">
        <v>25.6</v>
      </c>
      <c r="P14" s="1">
        <f t="shared" si="0"/>
        <v>41.823076923076918</v>
      </c>
    </row>
    <row r="15" spans="1:16" x14ac:dyDescent="0.25">
      <c r="A15">
        <v>1984</v>
      </c>
      <c r="B15">
        <v>14.3</v>
      </c>
      <c r="C15" s="1">
        <v>54</v>
      </c>
      <c r="D15" s="1">
        <v>181.5</v>
      </c>
      <c r="E15" s="1">
        <v>45</v>
      </c>
      <c r="F15" s="1">
        <v>32.299999999999997</v>
      </c>
      <c r="G15" s="1">
        <v>18</v>
      </c>
      <c r="H15" s="1">
        <v>131.1</v>
      </c>
      <c r="I15" s="1">
        <v>0</v>
      </c>
      <c r="J15" s="1">
        <v>0</v>
      </c>
      <c r="K15" s="1"/>
      <c r="L15" s="1">
        <v>32</v>
      </c>
      <c r="M15" s="1">
        <v>10.8</v>
      </c>
      <c r="N15" s="1">
        <v>145</v>
      </c>
      <c r="O15" s="1">
        <v>39.1</v>
      </c>
      <c r="P15" s="1">
        <f t="shared" si="0"/>
        <v>54.08461538461539</v>
      </c>
    </row>
    <row r="16" spans="1:16" x14ac:dyDescent="0.25">
      <c r="A16">
        <v>1985</v>
      </c>
      <c r="B16">
        <v>74.400000000000006</v>
      </c>
      <c r="C16" s="1">
        <v>109.8</v>
      </c>
      <c r="D16" s="1">
        <v>70</v>
      </c>
      <c r="E16" s="1">
        <v>28</v>
      </c>
      <c r="F16" s="1">
        <v>70.400000000000006</v>
      </c>
      <c r="G16" s="1">
        <v>14.4</v>
      </c>
      <c r="H16" s="1">
        <v>144.4</v>
      </c>
      <c r="I16" s="1">
        <v>0</v>
      </c>
      <c r="J16" s="1">
        <v>22.8</v>
      </c>
      <c r="K16" s="1"/>
      <c r="L16" s="1">
        <v>57.2</v>
      </c>
      <c r="M16" s="1">
        <v>18</v>
      </c>
      <c r="N16" s="1">
        <v>308</v>
      </c>
      <c r="O16" s="1">
        <v>80</v>
      </c>
      <c r="P16" s="1">
        <f t="shared" si="0"/>
        <v>76.723076923076917</v>
      </c>
    </row>
    <row r="17" spans="1:16" x14ac:dyDescent="0.25">
      <c r="A17">
        <v>1986</v>
      </c>
      <c r="B17">
        <v>30.6</v>
      </c>
      <c r="C17" s="1">
        <v>36.4</v>
      </c>
      <c r="D17" s="1">
        <v>44.8</v>
      </c>
      <c r="E17" s="1">
        <v>0</v>
      </c>
      <c r="F17" s="1">
        <v>0</v>
      </c>
      <c r="G17" s="1">
        <v>23</v>
      </c>
      <c r="H17" s="1">
        <v>22</v>
      </c>
      <c r="I17" s="1">
        <v>27</v>
      </c>
      <c r="J17" s="1">
        <v>0</v>
      </c>
      <c r="K17" s="1"/>
      <c r="L17" s="1">
        <v>15.4</v>
      </c>
      <c r="M17" s="1">
        <v>18.399999999999999</v>
      </c>
      <c r="N17" s="1">
        <v>147</v>
      </c>
      <c r="O17" s="1">
        <v>6</v>
      </c>
      <c r="P17" s="1">
        <f t="shared" si="0"/>
        <v>28.507692307692309</v>
      </c>
    </row>
    <row r="18" spans="1:16" x14ac:dyDescent="0.25">
      <c r="A18">
        <v>1987</v>
      </c>
      <c r="B18">
        <v>0</v>
      </c>
      <c r="C18" s="1">
        <v>30</v>
      </c>
      <c r="D18" s="1">
        <v>153</v>
      </c>
      <c r="E18" s="1">
        <v>0</v>
      </c>
      <c r="F18" s="1">
        <v>19</v>
      </c>
      <c r="G18" s="1">
        <v>0</v>
      </c>
      <c r="H18" s="1">
        <v>27</v>
      </c>
      <c r="I18" s="1">
        <v>0</v>
      </c>
      <c r="J18" s="1">
        <v>0</v>
      </c>
      <c r="K18" s="1"/>
      <c r="L18" s="1">
        <v>0</v>
      </c>
      <c r="M18" s="1">
        <v>5</v>
      </c>
      <c r="N18" s="1">
        <v>181</v>
      </c>
      <c r="O18" s="1">
        <v>22</v>
      </c>
      <c r="P18" s="1">
        <f t="shared" si="0"/>
        <v>33.615384615384613</v>
      </c>
    </row>
    <row r="19" spans="1:16" x14ac:dyDescent="0.25">
      <c r="A19">
        <v>1988</v>
      </c>
      <c r="B19">
        <v>0</v>
      </c>
      <c r="C19" s="1">
        <v>65</v>
      </c>
      <c r="D19" s="1">
        <v>128</v>
      </c>
      <c r="E19" s="1">
        <v>18</v>
      </c>
      <c r="F19" s="1">
        <v>27</v>
      </c>
      <c r="G19" s="1">
        <v>0</v>
      </c>
      <c r="H19" s="1">
        <v>68</v>
      </c>
      <c r="I19" s="1">
        <v>63</v>
      </c>
      <c r="J19" s="1">
        <v>12</v>
      </c>
      <c r="K19" s="1"/>
      <c r="L19" s="1">
        <v>57</v>
      </c>
      <c r="M19" s="1">
        <v>28</v>
      </c>
      <c r="N19" s="1">
        <v>331</v>
      </c>
      <c r="O19" s="1">
        <v>19</v>
      </c>
      <c r="P19" s="1">
        <f t="shared" si="0"/>
        <v>62.769230769230766</v>
      </c>
    </row>
    <row r="20" spans="1:16" x14ac:dyDescent="0.25">
      <c r="A20">
        <v>1989</v>
      </c>
      <c r="B20">
        <v>38</v>
      </c>
      <c r="C20" s="1">
        <v>135</v>
      </c>
      <c r="D20" s="1">
        <v>372</v>
      </c>
      <c r="E20" s="1">
        <v>20</v>
      </c>
      <c r="F20" s="1">
        <v>71</v>
      </c>
      <c r="G20" s="1">
        <v>0</v>
      </c>
      <c r="H20" s="1">
        <v>120</v>
      </c>
      <c r="I20" s="1">
        <v>0</v>
      </c>
      <c r="J20" s="1">
        <v>16</v>
      </c>
      <c r="K20" s="1"/>
      <c r="L20" s="1">
        <v>87</v>
      </c>
      <c r="M20" s="1">
        <v>14</v>
      </c>
      <c r="N20" s="1">
        <v>194</v>
      </c>
      <c r="O20" s="1">
        <v>89</v>
      </c>
      <c r="P20" s="1">
        <f t="shared" si="0"/>
        <v>88.92307692307692</v>
      </c>
    </row>
    <row r="21" spans="1:16" x14ac:dyDescent="0.25">
      <c r="A21">
        <v>1990</v>
      </c>
      <c r="B21">
        <v>15</v>
      </c>
      <c r="C21" s="1">
        <v>90</v>
      </c>
      <c r="D21" s="1">
        <v>101</v>
      </c>
      <c r="E21" s="1">
        <v>9</v>
      </c>
      <c r="F21" s="1">
        <v>45</v>
      </c>
      <c r="G21" s="1">
        <v>0</v>
      </c>
      <c r="H21" s="1">
        <v>102</v>
      </c>
      <c r="I21" s="1">
        <v>22</v>
      </c>
      <c r="J21" s="1">
        <v>0</v>
      </c>
      <c r="K21" s="1"/>
      <c r="L21" s="1">
        <v>34</v>
      </c>
      <c r="M21" s="1">
        <v>30</v>
      </c>
      <c r="N21" s="1">
        <v>302</v>
      </c>
      <c r="O21" s="1">
        <v>40</v>
      </c>
      <c r="P21" s="1">
        <f t="shared" si="0"/>
        <v>60.769230769230766</v>
      </c>
    </row>
    <row r="22" spans="1:16" x14ac:dyDescent="0.25">
      <c r="A22">
        <v>1991</v>
      </c>
      <c r="B22">
        <v>18</v>
      </c>
      <c r="C22" s="1">
        <v>160</v>
      </c>
      <c r="D22" s="1">
        <v>147</v>
      </c>
      <c r="E22" s="1">
        <v>0</v>
      </c>
      <c r="F22" s="1">
        <v>36</v>
      </c>
      <c r="G22" s="1">
        <v>26</v>
      </c>
      <c r="H22" s="1">
        <v>124</v>
      </c>
      <c r="I22" s="1">
        <v>24</v>
      </c>
      <c r="J22" s="1">
        <v>32</v>
      </c>
      <c r="K22" s="1"/>
      <c r="L22" s="1">
        <v>48</v>
      </c>
      <c r="M22" s="1">
        <v>14</v>
      </c>
      <c r="N22" s="1">
        <v>202</v>
      </c>
      <c r="O22" s="1">
        <v>96</v>
      </c>
      <c r="P22" s="1">
        <f t="shared" si="0"/>
        <v>71.307692307692307</v>
      </c>
    </row>
    <row r="23" spans="1:16" x14ac:dyDescent="0.25">
      <c r="A23">
        <v>1992</v>
      </c>
      <c r="B23">
        <v>0</v>
      </c>
      <c r="C23" s="1">
        <v>94</v>
      </c>
      <c r="D23" s="1">
        <v>112</v>
      </c>
      <c r="E23" s="1">
        <v>0</v>
      </c>
      <c r="F23" s="1">
        <v>11</v>
      </c>
      <c r="G23" s="1">
        <v>0</v>
      </c>
      <c r="H23" s="1">
        <v>70</v>
      </c>
      <c r="I23" s="1">
        <v>20</v>
      </c>
      <c r="J23" s="1">
        <v>25</v>
      </c>
      <c r="K23" s="1"/>
      <c r="L23" s="1">
        <v>30</v>
      </c>
      <c r="M23" s="1">
        <v>18</v>
      </c>
      <c r="N23" s="1">
        <v>389</v>
      </c>
      <c r="O23" s="1">
        <v>36</v>
      </c>
      <c r="P23" s="1">
        <f t="shared" si="0"/>
        <v>61.92307692307692</v>
      </c>
    </row>
    <row r="24" spans="1:16" x14ac:dyDescent="0.25">
      <c r="A24">
        <v>1993</v>
      </c>
      <c r="B24">
        <v>0</v>
      </c>
      <c r="C24" s="1">
        <v>56</v>
      </c>
      <c r="D24" s="1">
        <v>78</v>
      </c>
      <c r="E24" s="1">
        <v>0</v>
      </c>
      <c r="F24" s="1">
        <v>19</v>
      </c>
      <c r="G24" s="1">
        <v>0</v>
      </c>
      <c r="H24" s="1">
        <v>53</v>
      </c>
      <c r="I24" s="1">
        <v>0</v>
      </c>
      <c r="J24" s="1">
        <v>0</v>
      </c>
      <c r="K24" s="1"/>
      <c r="L24" s="1">
        <v>23</v>
      </c>
      <c r="M24" s="1">
        <v>0</v>
      </c>
      <c r="N24" s="1">
        <v>562</v>
      </c>
      <c r="O24" s="1">
        <v>30</v>
      </c>
      <c r="P24" s="1">
        <f t="shared" si="0"/>
        <v>63.153846153846153</v>
      </c>
    </row>
    <row r="25" spans="1:16" x14ac:dyDescent="0.25">
      <c r="A25">
        <v>1994</v>
      </c>
      <c r="B25">
        <v>78</v>
      </c>
      <c r="C25" s="1">
        <v>267</v>
      </c>
      <c r="D25" s="1">
        <v>193</v>
      </c>
      <c r="E25" s="1">
        <v>17</v>
      </c>
      <c r="F25" s="1">
        <v>62</v>
      </c>
      <c r="G25" s="1">
        <v>58</v>
      </c>
      <c r="H25" s="1">
        <v>173</v>
      </c>
      <c r="I25" s="1">
        <v>63</v>
      </c>
      <c r="J25" s="1">
        <v>75</v>
      </c>
      <c r="K25" s="1"/>
      <c r="L25" s="1">
        <v>155</v>
      </c>
      <c r="M25" s="1">
        <v>12</v>
      </c>
      <c r="N25" s="1">
        <v>410</v>
      </c>
      <c r="O25" s="1">
        <v>136</v>
      </c>
      <c r="P25" s="1">
        <f t="shared" si="0"/>
        <v>130.69230769230768</v>
      </c>
    </row>
    <row r="26" spans="1:16" x14ac:dyDescent="0.25">
      <c r="A26">
        <v>1995</v>
      </c>
      <c r="B26">
        <v>13</v>
      </c>
      <c r="C26" s="1">
        <v>59</v>
      </c>
      <c r="D26" s="1">
        <v>48</v>
      </c>
      <c r="E26" s="1">
        <v>0</v>
      </c>
      <c r="F26" s="1">
        <v>20</v>
      </c>
      <c r="G26" s="1">
        <v>0</v>
      </c>
      <c r="H26" s="1">
        <v>77</v>
      </c>
      <c r="I26" s="1">
        <v>19</v>
      </c>
      <c r="J26" s="1">
        <v>0</v>
      </c>
      <c r="K26" s="1"/>
      <c r="L26" s="1">
        <v>14</v>
      </c>
      <c r="M26" s="1">
        <v>6</v>
      </c>
      <c r="N26" s="1">
        <v>365</v>
      </c>
      <c r="O26" s="1">
        <v>29</v>
      </c>
      <c r="P26" s="1">
        <f t="shared" si="0"/>
        <v>50</v>
      </c>
    </row>
    <row r="27" spans="1:16" x14ac:dyDescent="0.25">
      <c r="A27">
        <v>1996</v>
      </c>
      <c r="B27">
        <v>6</v>
      </c>
      <c r="C27" s="1">
        <v>81</v>
      </c>
      <c r="D27" s="1">
        <v>26</v>
      </c>
      <c r="E27" s="1">
        <v>0</v>
      </c>
      <c r="F27" s="1">
        <v>20</v>
      </c>
      <c r="G27" s="1">
        <v>0</v>
      </c>
      <c r="H27" s="1">
        <v>65</v>
      </c>
      <c r="I27" s="1">
        <v>0</v>
      </c>
      <c r="J27" s="1">
        <v>15</v>
      </c>
      <c r="K27" s="1"/>
      <c r="L27" s="1">
        <v>15</v>
      </c>
      <c r="M27" s="1">
        <v>15</v>
      </c>
      <c r="N27" s="1">
        <v>510</v>
      </c>
      <c r="O27" s="1">
        <v>28</v>
      </c>
      <c r="P27" s="1">
        <f t="shared" si="0"/>
        <v>60.07692307692308</v>
      </c>
    </row>
    <row r="28" spans="1:16" x14ac:dyDescent="0.25">
      <c r="A28">
        <v>1997</v>
      </c>
      <c r="B28">
        <v>60</v>
      </c>
      <c r="C28" s="1">
        <v>74</v>
      </c>
      <c r="D28" s="1">
        <v>135</v>
      </c>
      <c r="E28" s="1">
        <v>4</v>
      </c>
      <c r="F28" s="1">
        <v>29</v>
      </c>
      <c r="G28" s="1">
        <v>0</v>
      </c>
      <c r="H28" s="1">
        <v>81</v>
      </c>
      <c r="I28" s="1">
        <v>42</v>
      </c>
      <c r="J28" s="1">
        <v>0</v>
      </c>
      <c r="K28" s="1"/>
      <c r="L28" s="1">
        <v>92</v>
      </c>
      <c r="M28" s="1">
        <v>16</v>
      </c>
      <c r="N28" s="1">
        <v>360</v>
      </c>
      <c r="O28" s="1">
        <v>70</v>
      </c>
      <c r="P28" s="1">
        <f t="shared" si="0"/>
        <v>74.07692307692308</v>
      </c>
    </row>
    <row r="29" spans="1:16" x14ac:dyDescent="0.25">
      <c r="A29">
        <v>1998</v>
      </c>
      <c r="B29">
        <v>83</v>
      </c>
      <c r="C29" s="1">
        <v>102</v>
      </c>
      <c r="D29" s="1">
        <v>128</v>
      </c>
      <c r="E29" s="1">
        <v>0</v>
      </c>
      <c r="F29" s="1">
        <v>90</v>
      </c>
      <c r="G29" s="1">
        <v>40</v>
      </c>
      <c r="H29" s="1">
        <v>116</v>
      </c>
      <c r="I29" s="1">
        <v>36</v>
      </c>
      <c r="J29" s="1">
        <v>0</v>
      </c>
      <c r="K29" s="1"/>
      <c r="L29" s="1">
        <v>84</v>
      </c>
      <c r="M29" s="1">
        <v>17</v>
      </c>
      <c r="N29" s="1">
        <v>573</v>
      </c>
      <c r="O29" s="1">
        <v>74</v>
      </c>
      <c r="P29" s="1">
        <f t="shared" si="0"/>
        <v>103.30769230769231</v>
      </c>
    </row>
    <row r="30" spans="1:16" x14ac:dyDescent="0.25">
      <c r="A30">
        <v>1999</v>
      </c>
      <c r="B30">
        <v>0</v>
      </c>
      <c r="C30" s="1">
        <v>39</v>
      </c>
      <c r="D30" s="1">
        <v>63</v>
      </c>
      <c r="E30" s="1">
        <v>9</v>
      </c>
      <c r="F30" s="1">
        <v>17</v>
      </c>
      <c r="G30" s="1">
        <v>0</v>
      </c>
      <c r="H30" s="1">
        <v>59</v>
      </c>
      <c r="I30" s="1">
        <v>0</v>
      </c>
      <c r="J30" s="1">
        <v>0</v>
      </c>
      <c r="K30" s="1"/>
      <c r="L30" s="1">
        <v>34</v>
      </c>
      <c r="M30" s="1">
        <v>20</v>
      </c>
      <c r="N30" s="1">
        <v>346</v>
      </c>
      <c r="O30" s="1">
        <v>29</v>
      </c>
      <c r="P30" s="1">
        <f t="shared" si="0"/>
        <v>47.384615384615387</v>
      </c>
    </row>
    <row r="31" spans="1:16" x14ac:dyDescent="0.25">
      <c r="A31">
        <v>2000</v>
      </c>
      <c r="B31">
        <v>14</v>
      </c>
      <c r="C31" s="1">
        <v>14</v>
      </c>
      <c r="D31" s="1">
        <v>44</v>
      </c>
      <c r="E31" s="1">
        <v>7</v>
      </c>
      <c r="F31" s="1">
        <v>11</v>
      </c>
      <c r="G31" s="1">
        <v>14</v>
      </c>
      <c r="H31" s="1">
        <v>38</v>
      </c>
      <c r="I31" s="1">
        <v>0</v>
      </c>
      <c r="J31" s="1">
        <v>0</v>
      </c>
      <c r="K31" s="1"/>
      <c r="L31" s="1">
        <v>15</v>
      </c>
      <c r="M31" s="1">
        <v>12</v>
      </c>
      <c r="N31" s="1">
        <v>382</v>
      </c>
      <c r="O31" s="1">
        <v>21</v>
      </c>
      <c r="P31" s="1">
        <f t="shared" si="0"/>
        <v>44</v>
      </c>
    </row>
    <row r="32" spans="1:16" x14ac:dyDescent="0.25">
      <c r="A32">
        <v>2001</v>
      </c>
      <c r="B32">
        <v>16</v>
      </c>
      <c r="C32" s="1">
        <v>69</v>
      </c>
      <c r="D32" s="1">
        <v>68</v>
      </c>
      <c r="E32" s="1">
        <v>0</v>
      </c>
      <c r="F32" s="1">
        <v>15</v>
      </c>
      <c r="G32" s="1">
        <v>14</v>
      </c>
      <c r="H32" s="1">
        <v>75</v>
      </c>
      <c r="I32" s="1">
        <v>0</v>
      </c>
      <c r="J32" s="1">
        <v>36</v>
      </c>
      <c r="K32" s="1"/>
      <c r="L32" s="1">
        <v>50</v>
      </c>
      <c r="M32" s="1">
        <v>0</v>
      </c>
      <c r="N32" s="1">
        <v>460</v>
      </c>
      <c r="O32" s="1">
        <v>44</v>
      </c>
      <c r="P32" s="1">
        <f t="shared" si="0"/>
        <v>65.15384615384616</v>
      </c>
    </row>
    <row r="33" spans="1:16" x14ac:dyDescent="0.25">
      <c r="A33">
        <v>2002</v>
      </c>
      <c r="B33">
        <v>0</v>
      </c>
      <c r="C33" s="1">
        <v>53</v>
      </c>
      <c r="D33" s="1">
        <v>122</v>
      </c>
      <c r="E33" s="1">
        <v>5</v>
      </c>
      <c r="F33" s="1">
        <v>46</v>
      </c>
      <c r="G33" s="1">
        <v>0</v>
      </c>
      <c r="H33" s="1">
        <v>84</v>
      </c>
      <c r="I33" s="1">
        <v>1</v>
      </c>
      <c r="J33" s="1">
        <v>0</v>
      </c>
      <c r="K33" s="1"/>
      <c r="L33" s="1">
        <v>9</v>
      </c>
      <c r="M33" s="1">
        <v>0</v>
      </c>
      <c r="N33" s="1">
        <v>403</v>
      </c>
      <c r="O33" s="1">
        <v>27</v>
      </c>
      <c r="P33" s="1">
        <f t="shared" si="0"/>
        <v>57.692307692307693</v>
      </c>
    </row>
    <row r="34" spans="1:16" x14ac:dyDescent="0.25">
      <c r="A34">
        <v>2003</v>
      </c>
      <c r="B34">
        <v>32</v>
      </c>
      <c r="C34" s="1">
        <v>35</v>
      </c>
      <c r="D34" s="1">
        <v>135</v>
      </c>
      <c r="E34" s="1">
        <v>11</v>
      </c>
      <c r="F34" s="1">
        <v>42</v>
      </c>
      <c r="G34" s="1">
        <v>31</v>
      </c>
      <c r="H34" s="1">
        <v>44</v>
      </c>
      <c r="I34" s="1">
        <v>99</v>
      </c>
      <c r="J34" s="1">
        <v>18</v>
      </c>
      <c r="K34" s="1"/>
      <c r="L34" s="1">
        <v>44</v>
      </c>
      <c r="M34" s="1">
        <v>30</v>
      </c>
      <c r="N34" s="1">
        <v>451</v>
      </c>
      <c r="O34" s="1">
        <v>38</v>
      </c>
      <c r="P34" s="1">
        <f t="shared" si="0"/>
        <v>77.692307692307693</v>
      </c>
    </row>
    <row r="35" spans="1:16" x14ac:dyDescent="0.25">
      <c r="A35">
        <v>2004</v>
      </c>
      <c r="B35">
        <v>13</v>
      </c>
      <c r="C35" s="1">
        <v>11</v>
      </c>
      <c r="D35" s="1">
        <v>13</v>
      </c>
      <c r="E35" s="1">
        <v>0</v>
      </c>
      <c r="F35" s="1">
        <v>0</v>
      </c>
      <c r="G35" s="1">
        <v>0</v>
      </c>
      <c r="H35" s="1">
        <v>23</v>
      </c>
      <c r="I35" s="1">
        <v>0</v>
      </c>
      <c r="J35" s="1">
        <v>0</v>
      </c>
      <c r="K35" s="1"/>
      <c r="L35" s="1">
        <v>9</v>
      </c>
      <c r="M35" s="1">
        <v>0</v>
      </c>
      <c r="N35" s="1">
        <v>399</v>
      </c>
      <c r="O35" s="1">
        <v>0</v>
      </c>
      <c r="P35" s="1">
        <f t="shared" si="0"/>
        <v>36</v>
      </c>
    </row>
    <row r="36" spans="1:16" x14ac:dyDescent="0.25">
      <c r="A36">
        <v>2005</v>
      </c>
      <c r="B36">
        <v>61</v>
      </c>
      <c r="C36" s="1">
        <v>122</v>
      </c>
      <c r="D36" s="1">
        <v>135</v>
      </c>
      <c r="E36" s="1">
        <v>14</v>
      </c>
      <c r="F36" s="1">
        <v>65</v>
      </c>
      <c r="G36" s="1">
        <v>27</v>
      </c>
      <c r="H36" s="1">
        <v>112</v>
      </c>
      <c r="I36" s="1">
        <v>0</v>
      </c>
      <c r="J36" s="1">
        <v>28</v>
      </c>
      <c r="K36" s="1"/>
      <c r="L36" s="1">
        <v>48</v>
      </c>
      <c r="M36" s="1">
        <v>37</v>
      </c>
      <c r="N36" s="1">
        <v>890</v>
      </c>
      <c r="O36" s="1">
        <v>53</v>
      </c>
      <c r="P36" s="1">
        <f t="shared" si="0"/>
        <v>122.46153846153847</v>
      </c>
    </row>
    <row r="37" spans="1:16" x14ac:dyDescent="0.25">
      <c r="A37">
        <v>2006</v>
      </c>
      <c r="B37">
        <v>44</v>
      </c>
      <c r="C37" s="1">
        <v>103</v>
      </c>
      <c r="D37" s="1">
        <v>91</v>
      </c>
      <c r="E37" s="1">
        <v>35</v>
      </c>
      <c r="F37" s="1">
        <v>82</v>
      </c>
      <c r="G37" s="1">
        <v>19</v>
      </c>
      <c r="H37" s="1">
        <v>114</v>
      </c>
      <c r="I37" s="1">
        <v>12</v>
      </c>
      <c r="J37" s="1">
        <v>36</v>
      </c>
      <c r="K37" s="1"/>
      <c r="L37" s="1">
        <v>140</v>
      </c>
      <c r="M37" s="1">
        <v>4</v>
      </c>
      <c r="N37" s="1">
        <v>405</v>
      </c>
      <c r="O37" s="1">
        <v>90</v>
      </c>
      <c r="P37" s="1">
        <f t="shared" si="0"/>
        <v>90.384615384615387</v>
      </c>
    </row>
    <row r="38" spans="1:16" x14ac:dyDescent="0.25">
      <c r="A38">
        <v>2007</v>
      </c>
      <c r="B38">
        <v>47</v>
      </c>
      <c r="C38" s="1">
        <v>80</v>
      </c>
      <c r="D38" s="1">
        <v>114</v>
      </c>
      <c r="E38" s="1">
        <v>0</v>
      </c>
      <c r="F38" s="1">
        <v>51</v>
      </c>
      <c r="G38" s="1">
        <v>11</v>
      </c>
      <c r="H38" s="1">
        <v>78</v>
      </c>
      <c r="I38" s="1">
        <v>0</v>
      </c>
      <c r="J38" s="1">
        <v>22</v>
      </c>
      <c r="K38" s="1"/>
      <c r="L38" s="1">
        <v>93</v>
      </c>
      <c r="M38" s="1">
        <v>8</v>
      </c>
      <c r="N38" s="1">
        <v>430</v>
      </c>
      <c r="O38" s="1">
        <v>77</v>
      </c>
      <c r="P38" s="1">
        <f t="shared" si="0"/>
        <v>77.769230769230774</v>
      </c>
    </row>
    <row r="39" spans="1:16" x14ac:dyDescent="0.25">
      <c r="A39">
        <v>2008</v>
      </c>
      <c r="B39">
        <v>21</v>
      </c>
      <c r="C39" s="1">
        <v>116</v>
      </c>
      <c r="D39" s="1">
        <v>74</v>
      </c>
      <c r="E39" s="1">
        <v>13</v>
      </c>
      <c r="F39" s="1">
        <v>81</v>
      </c>
      <c r="G39" s="1">
        <v>17</v>
      </c>
      <c r="H39" s="1">
        <v>121</v>
      </c>
      <c r="I39" s="1">
        <v>36</v>
      </c>
      <c r="J39" s="1">
        <v>22</v>
      </c>
      <c r="K39" s="1"/>
      <c r="L39" s="1">
        <v>121</v>
      </c>
      <c r="M39" s="1">
        <v>17</v>
      </c>
      <c r="N39" s="1">
        <v>336</v>
      </c>
      <c r="O39" s="1">
        <v>76</v>
      </c>
      <c r="P39" s="1">
        <f t="shared" si="0"/>
        <v>80.84615384615384</v>
      </c>
    </row>
    <row r="40" spans="1:16" x14ac:dyDescent="0.25">
      <c r="A40">
        <v>2009</v>
      </c>
      <c r="B40">
        <v>13</v>
      </c>
      <c r="C40" s="1">
        <v>33</v>
      </c>
      <c r="D40" s="1">
        <v>85</v>
      </c>
      <c r="E40" s="1">
        <v>5</v>
      </c>
      <c r="F40" s="1">
        <v>8</v>
      </c>
      <c r="G40" s="1">
        <v>0</v>
      </c>
      <c r="H40" s="1">
        <v>42</v>
      </c>
      <c r="I40" s="1">
        <v>0</v>
      </c>
      <c r="J40" s="1">
        <v>18</v>
      </c>
      <c r="K40" s="1"/>
      <c r="L40" s="1">
        <v>42</v>
      </c>
      <c r="M40" s="1">
        <v>13</v>
      </c>
      <c r="N40" s="1">
        <v>500</v>
      </c>
      <c r="O40" s="1">
        <v>6</v>
      </c>
      <c r="P40" s="1">
        <f t="shared" si="0"/>
        <v>58.846153846153847</v>
      </c>
    </row>
    <row r="41" spans="1:16" x14ac:dyDescent="0.25">
      <c r="A41">
        <v>2010</v>
      </c>
      <c r="B41">
        <v>0</v>
      </c>
      <c r="C41" s="1">
        <v>14</v>
      </c>
      <c r="D41" s="1">
        <v>17</v>
      </c>
      <c r="E41" s="1">
        <v>0</v>
      </c>
      <c r="F41" s="1">
        <v>0</v>
      </c>
      <c r="G41" s="1">
        <v>0</v>
      </c>
      <c r="H41" s="1">
        <v>21</v>
      </c>
      <c r="I41" s="1">
        <v>43</v>
      </c>
      <c r="J41" s="1">
        <v>0</v>
      </c>
      <c r="K41" s="1"/>
      <c r="L41" s="1">
        <v>0</v>
      </c>
      <c r="M41" s="1">
        <v>14</v>
      </c>
      <c r="N41" s="1">
        <v>891</v>
      </c>
      <c r="O41" s="1">
        <v>0</v>
      </c>
      <c r="P41" s="1">
        <f t="shared" si="0"/>
        <v>76.92307692307692</v>
      </c>
    </row>
    <row r="42" spans="1:16" x14ac:dyDescent="0.25">
      <c r="A42">
        <v>2011</v>
      </c>
      <c r="B42">
        <v>0</v>
      </c>
      <c r="C42" s="1">
        <v>26</v>
      </c>
      <c r="D42" s="1">
        <v>46</v>
      </c>
      <c r="E42" s="1">
        <v>34</v>
      </c>
      <c r="F42" s="1">
        <v>25</v>
      </c>
      <c r="G42" s="1">
        <v>17</v>
      </c>
      <c r="H42" s="1">
        <v>31</v>
      </c>
      <c r="I42" s="1">
        <v>1</v>
      </c>
      <c r="J42" s="1">
        <v>0</v>
      </c>
      <c r="K42" s="1"/>
      <c r="L42" s="1">
        <v>14</v>
      </c>
      <c r="M42" s="1">
        <v>22</v>
      </c>
      <c r="N42" s="1">
        <v>229</v>
      </c>
      <c r="O42" s="1">
        <v>37</v>
      </c>
      <c r="P42" s="1">
        <f t="shared" si="0"/>
        <v>37.07692307692308</v>
      </c>
    </row>
    <row r="43" spans="1:16" x14ac:dyDescent="0.25">
      <c r="A43">
        <v>2012</v>
      </c>
      <c r="B43">
        <v>18</v>
      </c>
      <c r="C43" s="1">
        <v>108</v>
      </c>
      <c r="D43" s="1">
        <v>165</v>
      </c>
      <c r="E43" s="1">
        <v>0</v>
      </c>
      <c r="F43" s="1">
        <v>51</v>
      </c>
      <c r="G43" s="1">
        <v>16</v>
      </c>
      <c r="H43" s="1">
        <v>112</v>
      </c>
      <c r="I43" s="1">
        <v>13</v>
      </c>
      <c r="J43" s="1">
        <v>27</v>
      </c>
      <c r="K43" s="1"/>
      <c r="L43" s="1">
        <v>71</v>
      </c>
      <c r="M43" s="1">
        <v>13</v>
      </c>
      <c r="N43" s="1">
        <v>576</v>
      </c>
      <c r="O43" s="1">
        <v>16</v>
      </c>
      <c r="P43" s="1">
        <f t="shared" si="0"/>
        <v>91.230769230769226</v>
      </c>
    </row>
    <row r="44" spans="1:16" x14ac:dyDescent="0.25">
      <c r="A44">
        <v>2013</v>
      </c>
      <c r="B44">
        <v>15</v>
      </c>
      <c r="C44" s="1">
        <v>61</v>
      </c>
      <c r="D44" s="1">
        <v>140</v>
      </c>
      <c r="E44" s="1">
        <v>11</v>
      </c>
      <c r="F44" s="1">
        <v>45</v>
      </c>
      <c r="G44" s="1">
        <v>27</v>
      </c>
      <c r="H44" s="1">
        <v>51</v>
      </c>
      <c r="I44" s="1">
        <v>89</v>
      </c>
      <c r="J44" s="1">
        <v>22</v>
      </c>
      <c r="K44" s="1"/>
      <c r="L44" s="1">
        <v>72</v>
      </c>
      <c r="M44" s="1">
        <v>20</v>
      </c>
      <c r="N44" s="1">
        <v>391</v>
      </c>
      <c r="O44" s="1">
        <v>34</v>
      </c>
      <c r="P44" s="1">
        <f t="shared" si="0"/>
        <v>75.230769230769226</v>
      </c>
    </row>
    <row r="45" spans="1:16" x14ac:dyDescent="0.25">
      <c r="A45">
        <v>2014</v>
      </c>
      <c r="B45">
        <v>15</v>
      </c>
      <c r="C45" s="1">
        <v>140</v>
      </c>
      <c r="D45" s="1">
        <v>155</v>
      </c>
      <c r="E45" s="1">
        <v>15</v>
      </c>
      <c r="F45" s="1">
        <v>38</v>
      </c>
      <c r="G45" s="1">
        <v>9</v>
      </c>
      <c r="H45" s="1">
        <v>78</v>
      </c>
      <c r="I45" s="1">
        <v>78</v>
      </c>
      <c r="J45" s="1">
        <v>18</v>
      </c>
      <c r="K45" s="1"/>
      <c r="L45" s="1">
        <v>43</v>
      </c>
      <c r="M45" s="1">
        <v>13</v>
      </c>
      <c r="N45" s="1">
        <v>495</v>
      </c>
      <c r="O45" s="1">
        <v>66</v>
      </c>
      <c r="P45" s="1">
        <f t="shared" si="0"/>
        <v>89.461538461538467</v>
      </c>
    </row>
    <row r="46" spans="1:16" x14ac:dyDescent="0.25">
      <c r="A46">
        <v>2015</v>
      </c>
      <c r="B46">
        <v>15</v>
      </c>
      <c r="C46" s="1">
        <v>52</v>
      </c>
      <c r="D46" s="1">
        <v>31</v>
      </c>
      <c r="E46" s="1">
        <v>0</v>
      </c>
      <c r="F46" s="1">
        <v>26</v>
      </c>
      <c r="G46" s="1">
        <v>10</v>
      </c>
      <c r="H46" s="1">
        <v>71</v>
      </c>
      <c r="I46" s="1">
        <v>45</v>
      </c>
      <c r="J46" s="1">
        <v>11</v>
      </c>
      <c r="K46" s="1"/>
      <c r="L46" s="1">
        <v>24</v>
      </c>
      <c r="M46" s="1">
        <v>17</v>
      </c>
      <c r="N46" s="1">
        <v>427</v>
      </c>
      <c r="O46" s="1">
        <v>29</v>
      </c>
      <c r="P46" s="1">
        <f t="shared" si="0"/>
        <v>58.307692307692307</v>
      </c>
    </row>
    <row r="47" spans="1:16" x14ac:dyDescent="0.25">
      <c r="A47">
        <v>2016</v>
      </c>
      <c r="B47">
        <v>0</v>
      </c>
      <c r="C47" s="1">
        <v>43</v>
      </c>
      <c r="D47" s="1">
        <v>420</v>
      </c>
      <c r="E47" s="1">
        <v>0</v>
      </c>
      <c r="F47" s="1">
        <v>9</v>
      </c>
      <c r="G47" s="1">
        <v>9</v>
      </c>
      <c r="H47" s="1">
        <v>32</v>
      </c>
      <c r="I47" s="1">
        <v>13</v>
      </c>
      <c r="J47" s="1">
        <v>19</v>
      </c>
      <c r="K47" s="1"/>
      <c r="L47" s="1">
        <v>9</v>
      </c>
      <c r="M47" s="1">
        <v>0</v>
      </c>
      <c r="N47" s="1">
        <v>179</v>
      </c>
      <c r="O47" s="1">
        <v>35</v>
      </c>
      <c r="P47" s="1">
        <f t="shared" si="0"/>
        <v>59.07692307692308</v>
      </c>
    </row>
    <row r="48" spans="1:16" x14ac:dyDescent="0.25">
      <c r="A48">
        <v>2017</v>
      </c>
      <c r="B48">
        <v>29</v>
      </c>
      <c r="C48" s="1">
        <v>130</v>
      </c>
      <c r="D48" s="1">
        <v>220</v>
      </c>
      <c r="E48" s="1">
        <v>0</v>
      </c>
      <c r="F48" s="1">
        <v>14</v>
      </c>
      <c r="G48" s="1">
        <v>22</v>
      </c>
      <c r="H48" s="1">
        <v>88</v>
      </c>
      <c r="I48" s="1">
        <v>23</v>
      </c>
      <c r="J48" s="1">
        <v>24</v>
      </c>
      <c r="K48" s="1"/>
      <c r="L48" s="1">
        <v>37</v>
      </c>
      <c r="M48" s="1">
        <v>15</v>
      </c>
      <c r="N48" s="1">
        <v>720</v>
      </c>
      <c r="O48" s="1">
        <v>45</v>
      </c>
      <c r="P48" s="1">
        <f t="shared" si="0"/>
        <v>105.15384615384616</v>
      </c>
    </row>
    <row r="49" spans="1:16" x14ac:dyDescent="0.25">
      <c r="A49">
        <v>2018</v>
      </c>
      <c r="B49">
        <v>11</v>
      </c>
      <c r="C49" s="1">
        <v>35</v>
      </c>
      <c r="D49" s="1">
        <v>41</v>
      </c>
      <c r="E49" s="1">
        <v>11</v>
      </c>
      <c r="F49" s="1">
        <v>6</v>
      </c>
      <c r="G49" s="1">
        <v>13</v>
      </c>
      <c r="H49" s="1">
        <v>28</v>
      </c>
      <c r="I49" s="1">
        <v>13</v>
      </c>
      <c r="J49" s="1">
        <v>8</v>
      </c>
      <c r="K49" s="1"/>
      <c r="L49" s="1">
        <v>19</v>
      </c>
      <c r="M49" s="1">
        <v>39</v>
      </c>
      <c r="N49" s="1">
        <v>209</v>
      </c>
      <c r="O49" s="1">
        <v>23</v>
      </c>
      <c r="P49" s="1">
        <f t="shared" si="0"/>
        <v>35.07692307692308</v>
      </c>
    </row>
    <row r="50" spans="1:16" x14ac:dyDescent="0.25">
      <c r="A50">
        <v>2019</v>
      </c>
      <c r="B50">
        <v>0</v>
      </c>
      <c r="C50" s="1">
        <v>27</v>
      </c>
      <c r="D50" s="1">
        <v>96</v>
      </c>
      <c r="E50" s="1">
        <v>0</v>
      </c>
      <c r="F50" s="1">
        <v>12</v>
      </c>
      <c r="G50" s="1">
        <v>0</v>
      </c>
      <c r="H50" s="1">
        <v>46</v>
      </c>
      <c r="I50" s="1">
        <v>10</v>
      </c>
      <c r="J50" s="1">
        <v>0</v>
      </c>
      <c r="K50" s="1"/>
      <c r="L50" s="1">
        <v>0</v>
      </c>
      <c r="M50" s="1">
        <v>14</v>
      </c>
      <c r="N50" s="1">
        <v>419</v>
      </c>
      <c r="O50" s="1">
        <v>18</v>
      </c>
      <c r="P50" s="1">
        <f t="shared" si="0"/>
        <v>49.384615384615387</v>
      </c>
    </row>
    <row r="51" spans="1:16" x14ac:dyDescent="0.25">
      <c r="A51">
        <v>2020</v>
      </c>
      <c r="B51">
        <v>0</v>
      </c>
      <c r="C51" s="1">
        <v>36</v>
      </c>
      <c r="D51" s="1">
        <v>212</v>
      </c>
      <c r="E51" s="1">
        <v>0</v>
      </c>
      <c r="F51" s="1">
        <v>0</v>
      </c>
      <c r="G51" s="1">
        <v>0</v>
      </c>
      <c r="H51" s="1">
        <v>51</v>
      </c>
      <c r="I51" s="1">
        <v>55</v>
      </c>
      <c r="J51" s="1">
        <v>0</v>
      </c>
      <c r="K51" s="1"/>
      <c r="L51" s="1">
        <v>40</v>
      </c>
      <c r="M51" s="1">
        <v>0</v>
      </c>
      <c r="N51" s="1">
        <v>304</v>
      </c>
      <c r="O51" s="1">
        <v>34</v>
      </c>
      <c r="P51" s="1">
        <f t="shared" si="0"/>
        <v>56.307692307692307</v>
      </c>
    </row>
    <row r="52" spans="1:16" x14ac:dyDescent="0.25">
      <c r="A52">
        <v>2021</v>
      </c>
      <c r="B52">
        <v>7</v>
      </c>
      <c r="C52" s="1">
        <v>26</v>
      </c>
      <c r="D52" s="1">
        <v>94</v>
      </c>
      <c r="E52" s="1">
        <v>0</v>
      </c>
      <c r="F52" s="1">
        <v>14</v>
      </c>
      <c r="G52" s="1">
        <v>0</v>
      </c>
      <c r="H52" s="1">
        <v>35</v>
      </c>
      <c r="I52" s="1">
        <v>12</v>
      </c>
      <c r="J52" s="1">
        <v>25</v>
      </c>
      <c r="K52" s="1"/>
      <c r="L52" s="1">
        <v>0</v>
      </c>
      <c r="M52" s="1">
        <v>13</v>
      </c>
      <c r="N52" s="1">
        <v>400</v>
      </c>
      <c r="O52" s="1">
        <v>22</v>
      </c>
      <c r="P52" s="1">
        <f t="shared" si="0"/>
        <v>49.846153846153847</v>
      </c>
    </row>
    <row r="53" spans="1:16" x14ac:dyDescent="0.25">
      <c r="A53">
        <v>2022</v>
      </c>
      <c r="B53">
        <v>0</v>
      </c>
      <c r="C53" s="1">
        <v>0</v>
      </c>
      <c r="D53" s="1">
        <v>101</v>
      </c>
      <c r="E53" s="1">
        <v>0</v>
      </c>
      <c r="F53" s="1">
        <v>0</v>
      </c>
      <c r="G53" s="1">
        <v>0</v>
      </c>
      <c r="H53" s="1">
        <v>23</v>
      </c>
      <c r="I53" s="1">
        <v>57</v>
      </c>
      <c r="J53" s="1">
        <v>0</v>
      </c>
      <c r="K53" s="1"/>
      <c r="L53" s="1">
        <v>30</v>
      </c>
      <c r="M53" s="1">
        <v>63</v>
      </c>
      <c r="N53" s="1">
        <v>388</v>
      </c>
      <c r="O53" s="1">
        <v>18</v>
      </c>
      <c r="P53" s="1">
        <f t="shared" si="0"/>
        <v>52.307692307692307</v>
      </c>
    </row>
    <row r="54" spans="1:16" x14ac:dyDescent="0.25">
      <c r="A54">
        <v>2023</v>
      </c>
      <c r="B54">
        <v>13</v>
      </c>
      <c r="C54" s="1">
        <v>34</v>
      </c>
      <c r="D54" s="1">
        <v>201</v>
      </c>
      <c r="E54" s="1">
        <v>23</v>
      </c>
      <c r="F54" s="1">
        <v>33</v>
      </c>
      <c r="G54" s="1">
        <v>0</v>
      </c>
      <c r="H54" s="1">
        <v>38</v>
      </c>
      <c r="I54" s="1">
        <v>8</v>
      </c>
      <c r="J54" s="1">
        <v>0</v>
      </c>
      <c r="K54" s="1"/>
      <c r="L54" s="1">
        <v>30</v>
      </c>
      <c r="M54" s="1">
        <v>12</v>
      </c>
      <c r="N54" s="1">
        <v>601</v>
      </c>
      <c r="O54" s="1">
        <v>38</v>
      </c>
      <c r="P54" s="1">
        <f t="shared" si="0"/>
        <v>79.307692307692307</v>
      </c>
    </row>
    <row r="55" spans="1:16" x14ac:dyDescent="0.25">
      <c r="A55">
        <v>2024</v>
      </c>
      <c r="B55">
        <v>9</v>
      </c>
      <c r="C55">
        <v>54</v>
      </c>
      <c r="D55">
        <v>48.4</v>
      </c>
      <c r="E55">
        <v>28.8</v>
      </c>
      <c r="F55">
        <v>14</v>
      </c>
      <c r="G55">
        <v>0</v>
      </c>
      <c r="H55">
        <v>37.5</v>
      </c>
      <c r="I55">
        <v>27.3</v>
      </c>
      <c r="J55">
        <v>0</v>
      </c>
      <c r="L55">
        <v>31</v>
      </c>
      <c r="M55">
        <v>6.4</v>
      </c>
      <c r="N55">
        <v>358.8</v>
      </c>
      <c r="O55">
        <v>31</v>
      </c>
      <c r="P55" s="1">
        <f t="shared" si="0"/>
        <v>49.707692307692312</v>
      </c>
    </row>
    <row r="56" spans="1:16" x14ac:dyDescent="0.25">
      <c r="A56">
        <v>2025</v>
      </c>
      <c r="B56">
        <v>0</v>
      </c>
      <c r="C56">
        <v>50</v>
      </c>
      <c r="D56">
        <v>107</v>
      </c>
      <c r="E56">
        <v>0</v>
      </c>
      <c r="F56">
        <v>0</v>
      </c>
      <c r="G56">
        <v>0</v>
      </c>
      <c r="H56">
        <v>69</v>
      </c>
      <c r="I56">
        <v>0</v>
      </c>
      <c r="J56">
        <v>0</v>
      </c>
      <c r="L56">
        <v>0</v>
      </c>
      <c r="M56">
        <v>0</v>
      </c>
      <c r="N56">
        <v>159</v>
      </c>
      <c r="O56">
        <v>21</v>
      </c>
      <c r="P56" s="1">
        <f t="shared" si="0"/>
        <v>31.23076923076923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"/>
  <sheetViews>
    <sheetView workbookViewId="0">
      <selection activeCell="Q28" sqref="Q24:Q28"/>
    </sheetView>
  </sheetViews>
  <sheetFormatPr defaultRowHeight="15" x14ac:dyDescent="0.25"/>
  <sheetData>
    <row r="1" spans="1:7" ht="75" x14ac:dyDescent="0.25">
      <c r="B1" t="s">
        <v>208</v>
      </c>
      <c r="C1" t="s">
        <v>209</v>
      </c>
      <c r="D1" t="s">
        <v>210</v>
      </c>
      <c r="E1" t="s">
        <v>211</v>
      </c>
      <c r="F1" t="s">
        <v>212</v>
      </c>
      <c r="G1" s="3" t="s">
        <v>213</v>
      </c>
    </row>
    <row r="2" spans="1:7" x14ac:dyDescent="0.25">
      <c r="A2">
        <v>1971</v>
      </c>
      <c r="B2" s="1">
        <v>57</v>
      </c>
      <c r="C2" s="1">
        <v>0</v>
      </c>
      <c r="D2" s="1">
        <v>0</v>
      </c>
      <c r="E2" s="1">
        <v>80</v>
      </c>
      <c r="F2" s="1">
        <v>0</v>
      </c>
      <c r="G2" s="1">
        <f>AVERAGE(B2:F2)</f>
        <v>27.4</v>
      </c>
    </row>
    <row r="3" spans="1:7" x14ac:dyDescent="0.25">
      <c r="A3">
        <v>1972</v>
      </c>
      <c r="B3" s="1">
        <v>92</v>
      </c>
      <c r="C3" s="1">
        <v>0</v>
      </c>
      <c r="D3" s="1">
        <v>93</v>
      </c>
      <c r="E3" s="1">
        <v>54</v>
      </c>
      <c r="F3" s="1">
        <v>0</v>
      </c>
      <c r="G3" s="1">
        <f t="shared" ref="G3:G56" si="0">AVERAGE(B3:F3)</f>
        <v>47.8</v>
      </c>
    </row>
    <row r="4" spans="1:7" x14ac:dyDescent="0.25">
      <c r="A4">
        <v>1973</v>
      </c>
      <c r="B4" s="1">
        <v>69</v>
      </c>
      <c r="C4" s="1">
        <v>0</v>
      </c>
      <c r="D4" s="1">
        <v>61</v>
      </c>
      <c r="E4" s="1">
        <v>81</v>
      </c>
      <c r="F4" s="1">
        <v>0</v>
      </c>
      <c r="G4" s="1">
        <f t="shared" si="0"/>
        <v>42.2</v>
      </c>
    </row>
    <row r="5" spans="1:7" x14ac:dyDescent="0.25">
      <c r="A5">
        <v>1974</v>
      </c>
      <c r="B5" s="1">
        <v>42</v>
      </c>
      <c r="C5" s="1">
        <v>0</v>
      </c>
      <c r="D5" s="1">
        <v>61</v>
      </c>
      <c r="E5" s="1">
        <v>27</v>
      </c>
      <c r="F5" s="1">
        <v>60</v>
      </c>
      <c r="G5" s="1">
        <f t="shared" si="0"/>
        <v>38</v>
      </c>
    </row>
    <row r="6" spans="1:7" x14ac:dyDescent="0.25">
      <c r="A6">
        <v>1975</v>
      </c>
      <c r="B6" s="1">
        <v>23</v>
      </c>
      <c r="C6" s="1">
        <v>0</v>
      </c>
      <c r="D6" s="1">
        <v>25</v>
      </c>
      <c r="E6" s="1">
        <v>48</v>
      </c>
      <c r="F6" s="1">
        <v>31</v>
      </c>
      <c r="G6" s="1">
        <f t="shared" si="0"/>
        <v>25.4</v>
      </c>
    </row>
    <row r="7" spans="1:7" x14ac:dyDescent="0.25">
      <c r="A7">
        <v>1976</v>
      </c>
      <c r="B7" s="1">
        <v>58</v>
      </c>
      <c r="C7" s="1">
        <v>0</v>
      </c>
      <c r="D7" s="1">
        <v>34</v>
      </c>
      <c r="E7" s="1">
        <v>85</v>
      </c>
      <c r="F7" s="1">
        <v>51</v>
      </c>
      <c r="G7" s="1">
        <f t="shared" si="0"/>
        <v>45.6</v>
      </c>
    </row>
    <row r="8" spans="1:7" x14ac:dyDescent="0.25">
      <c r="A8">
        <v>1977</v>
      </c>
      <c r="B8" s="1">
        <v>48</v>
      </c>
      <c r="C8" s="1">
        <v>0</v>
      </c>
      <c r="D8" s="1">
        <v>51</v>
      </c>
      <c r="E8" s="1">
        <v>25</v>
      </c>
      <c r="F8" s="1">
        <v>30</v>
      </c>
      <c r="G8" s="1">
        <f t="shared" si="0"/>
        <v>30.8</v>
      </c>
    </row>
    <row r="9" spans="1:7" x14ac:dyDescent="0.25">
      <c r="A9">
        <v>1978</v>
      </c>
      <c r="B9" s="1">
        <v>42</v>
      </c>
      <c r="C9" s="1">
        <v>62</v>
      </c>
      <c r="D9" s="1">
        <v>52.9</v>
      </c>
      <c r="E9" s="1">
        <v>27.2</v>
      </c>
      <c r="F9" s="1">
        <v>18.899999999999999</v>
      </c>
      <c r="G9" s="1">
        <f t="shared" si="0"/>
        <v>40.6</v>
      </c>
    </row>
    <row r="10" spans="1:7" x14ac:dyDescent="0.25">
      <c r="A10">
        <v>1979</v>
      </c>
      <c r="B10" s="1">
        <v>29.27</v>
      </c>
      <c r="C10" s="1">
        <v>35</v>
      </c>
      <c r="D10" s="1">
        <v>23.4</v>
      </c>
      <c r="E10" s="1">
        <v>20</v>
      </c>
      <c r="F10" s="1">
        <v>18</v>
      </c>
      <c r="G10" s="1">
        <f t="shared" si="0"/>
        <v>25.133999999999997</v>
      </c>
    </row>
    <row r="11" spans="1:7" x14ac:dyDescent="0.25">
      <c r="A11">
        <v>1980</v>
      </c>
      <c r="B11" s="1">
        <v>22.1</v>
      </c>
      <c r="C11" s="1">
        <v>26</v>
      </c>
      <c r="D11" s="1">
        <v>46.8</v>
      </c>
      <c r="E11" s="1">
        <v>49.4</v>
      </c>
      <c r="F11" s="1">
        <v>51</v>
      </c>
      <c r="G11" s="1">
        <f t="shared" si="0"/>
        <v>39.06</v>
      </c>
    </row>
    <row r="12" spans="1:7" x14ac:dyDescent="0.25">
      <c r="A12">
        <v>1981</v>
      </c>
      <c r="B12" s="1">
        <v>52.5</v>
      </c>
      <c r="C12" s="1">
        <v>65</v>
      </c>
      <c r="D12" s="1">
        <v>32</v>
      </c>
      <c r="E12" s="1">
        <v>39.1</v>
      </c>
      <c r="F12" s="1">
        <v>19.8</v>
      </c>
      <c r="G12" s="1">
        <f t="shared" si="0"/>
        <v>41.68</v>
      </c>
    </row>
    <row r="13" spans="1:7" x14ac:dyDescent="0.25">
      <c r="A13">
        <v>1982</v>
      </c>
      <c r="B13" s="1">
        <v>98.6</v>
      </c>
      <c r="C13" s="1">
        <v>98</v>
      </c>
      <c r="D13" s="1">
        <v>65.12</v>
      </c>
      <c r="E13" s="1">
        <v>54.6</v>
      </c>
      <c r="F13" s="1">
        <v>67.5</v>
      </c>
      <c r="G13" s="1">
        <f t="shared" si="0"/>
        <v>76.76400000000001</v>
      </c>
    </row>
    <row r="14" spans="1:7" x14ac:dyDescent="0.25">
      <c r="A14">
        <v>1983</v>
      </c>
      <c r="B14" s="1">
        <v>36</v>
      </c>
      <c r="C14" s="1">
        <v>60</v>
      </c>
      <c r="D14" s="1">
        <v>29.7</v>
      </c>
      <c r="E14" s="1">
        <v>36.4</v>
      </c>
      <c r="F14" s="1">
        <v>51.3</v>
      </c>
      <c r="G14" s="1">
        <f t="shared" si="0"/>
        <v>42.679999999999993</v>
      </c>
    </row>
    <row r="15" spans="1:7" x14ac:dyDescent="0.25">
      <c r="A15">
        <v>1984</v>
      </c>
      <c r="B15" s="1">
        <v>45</v>
      </c>
      <c r="C15" s="1">
        <v>68</v>
      </c>
      <c r="D15" s="1">
        <v>58.06</v>
      </c>
      <c r="E15" s="1">
        <v>78</v>
      </c>
      <c r="F15" s="1">
        <v>70.2</v>
      </c>
      <c r="G15" s="1">
        <f t="shared" si="0"/>
        <v>63.851999999999997</v>
      </c>
    </row>
    <row r="16" spans="1:7" x14ac:dyDescent="0.25">
      <c r="A16">
        <v>1985</v>
      </c>
      <c r="B16" s="1">
        <v>41.6</v>
      </c>
      <c r="C16" s="1">
        <v>63</v>
      </c>
      <c r="D16" s="1">
        <v>0</v>
      </c>
      <c r="E16" s="1">
        <v>13.8</v>
      </c>
      <c r="F16" s="1">
        <v>46.8</v>
      </c>
      <c r="G16" s="1">
        <f t="shared" si="0"/>
        <v>33.04</v>
      </c>
    </row>
    <row r="17" spans="1:7" x14ac:dyDescent="0.25">
      <c r="A17">
        <v>1986</v>
      </c>
      <c r="B17" s="1">
        <v>43</v>
      </c>
      <c r="C17" s="1">
        <v>70</v>
      </c>
      <c r="D17" s="1">
        <v>53</v>
      </c>
      <c r="E17" s="1">
        <v>90</v>
      </c>
      <c r="F17" s="1">
        <v>36</v>
      </c>
      <c r="G17" s="1">
        <f t="shared" si="0"/>
        <v>58.4</v>
      </c>
    </row>
    <row r="18" spans="1:7" x14ac:dyDescent="0.25">
      <c r="A18">
        <v>1987</v>
      </c>
      <c r="B18" s="1">
        <v>71</v>
      </c>
      <c r="C18" s="1">
        <v>102</v>
      </c>
      <c r="D18" s="1">
        <v>75</v>
      </c>
      <c r="E18" s="1">
        <v>99</v>
      </c>
      <c r="F18" s="1">
        <v>106</v>
      </c>
      <c r="G18" s="1">
        <f t="shared" si="0"/>
        <v>90.6</v>
      </c>
    </row>
    <row r="19" spans="1:7" x14ac:dyDescent="0.25">
      <c r="A19">
        <v>1988</v>
      </c>
      <c r="B19" s="1">
        <v>77</v>
      </c>
      <c r="C19" s="1">
        <v>60</v>
      </c>
      <c r="D19" s="1">
        <v>12</v>
      </c>
      <c r="E19" s="1">
        <v>72</v>
      </c>
      <c r="F19" s="1">
        <v>62</v>
      </c>
      <c r="G19" s="1">
        <f t="shared" si="0"/>
        <v>56.6</v>
      </c>
    </row>
    <row r="20" spans="1:7" x14ac:dyDescent="0.25">
      <c r="A20">
        <v>1989</v>
      </c>
      <c r="B20" s="1">
        <v>62</v>
      </c>
      <c r="C20" s="1">
        <v>70</v>
      </c>
      <c r="D20" s="1">
        <v>55</v>
      </c>
      <c r="E20" s="1">
        <v>51</v>
      </c>
      <c r="F20" s="1">
        <v>85</v>
      </c>
      <c r="G20" s="1">
        <f t="shared" si="0"/>
        <v>64.599999999999994</v>
      </c>
    </row>
    <row r="21" spans="1:7" x14ac:dyDescent="0.25">
      <c r="A21">
        <v>1990</v>
      </c>
      <c r="B21" s="1">
        <v>71</v>
      </c>
      <c r="C21" s="1">
        <v>102</v>
      </c>
      <c r="D21" s="1">
        <v>58</v>
      </c>
      <c r="E21" s="1">
        <v>78</v>
      </c>
      <c r="F21" s="1">
        <v>48</v>
      </c>
      <c r="G21" s="1">
        <f t="shared" si="0"/>
        <v>71.400000000000006</v>
      </c>
    </row>
    <row r="22" spans="1:7" x14ac:dyDescent="0.25">
      <c r="A22">
        <v>1991</v>
      </c>
      <c r="B22" s="1">
        <v>48</v>
      </c>
      <c r="C22" s="1">
        <v>90</v>
      </c>
      <c r="D22" s="1">
        <v>106</v>
      </c>
      <c r="E22" s="1">
        <v>46</v>
      </c>
      <c r="F22" s="1">
        <v>47</v>
      </c>
      <c r="G22" s="1">
        <f t="shared" si="0"/>
        <v>67.400000000000006</v>
      </c>
    </row>
    <row r="23" spans="1:7" x14ac:dyDescent="0.25">
      <c r="A23">
        <v>1992</v>
      </c>
      <c r="B23" s="1">
        <v>69</v>
      </c>
      <c r="C23" s="1">
        <v>94</v>
      </c>
      <c r="D23" s="1">
        <v>132</v>
      </c>
      <c r="E23" s="1">
        <v>53</v>
      </c>
      <c r="F23" s="1">
        <v>40</v>
      </c>
      <c r="G23" s="1">
        <f t="shared" si="0"/>
        <v>77.599999999999994</v>
      </c>
    </row>
    <row r="24" spans="1:7" x14ac:dyDescent="0.25">
      <c r="A24">
        <v>1993</v>
      </c>
      <c r="B24" s="1">
        <v>100</v>
      </c>
      <c r="C24" s="1">
        <v>70</v>
      </c>
      <c r="D24" s="1">
        <v>113</v>
      </c>
      <c r="E24" s="1">
        <v>99</v>
      </c>
      <c r="F24" s="1">
        <v>52</v>
      </c>
      <c r="G24" s="1">
        <f t="shared" si="0"/>
        <v>86.8</v>
      </c>
    </row>
    <row r="25" spans="1:7" x14ac:dyDescent="0.25">
      <c r="A25">
        <v>1994</v>
      </c>
      <c r="B25" s="1">
        <v>86</v>
      </c>
      <c r="C25" s="1">
        <v>112</v>
      </c>
      <c r="D25" s="1">
        <v>233</v>
      </c>
      <c r="E25" s="1">
        <v>60</v>
      </c>
      <c r="F25" s="1">
        <v>55</v>
      </c>
      <c r="G25" s="1">
        <f t="shared" si="0"/>
        <v>109.2</v>
      </c>
    </row>
    <row r="26" spans="1:7" x14ac:dyDescent="0.25">
      <c r="A26">
        <v>1995</v>
      </c>
      <c r="B26" s="1">
        <v>74</v>
      </c>
      <c r="C26" s="1">
        <v>61</v>
      </c>
      <c r="D26" s="1">
        <v>233</v>
      </c>
      <c r="E26" s="1">
        <v>28</v>
      </c>
      <c r="F26" s="1">
        <v>24</v>
      </c>
      <c r="G26" s="1">
        <f t="shared" si="0"/>
        <v>84</v>
      </c>
    </row>
    <row r="27" spans="1:7" x14ac:dyDescent="0.25">
      <c r="A27">
        <v>1996</v>
      </c>
      <c r="B27" s="1">
        <v>51</v>
      </c>
      <c r="C27" s="1">
        <v>92</v>
      </c>
      <c r="D27" s="1">
        <v>55</v>
      </c>
      <c r="E27" s="1">
        <v>36</v>
      </c>
      <c r="F27" s="1">
        <v>27</v>
      </c>
      <c r="G27" s="1">
        <f t="shared" si="0"/>
        <v>52.2</v>
      </c>
    </row>
    <row r="28" spans="1:7" x14ac:dyDescent="0.25">
      <c r="A28">
        <v>1997</v>
      </c>
      <c r="B28" s="1">
        <v>51</v>
      </c>
      <c r="C28" s="1">
        <v>111</v>
      </c>
      <c r="D28" s="1">
        <v>85</v>
      </c>
      <c r="E28" s="1">
        <v>58</v>
      </c>
      <c r="F28" s="1">
        <v>37</v>
      </c>
      <c r="G28" s="1">
        <f t="shared" si="0"/>
        <v>68.400000000000006</v>
      </c>
    </row>
    <row r="29" spans="1:7" x14ac:dyDescent="0.25">
      <c r="A29">
        <v>1998</v>
      </c>
      <c r="B29" s="1">
        <v>67</v>
      </c>
      <c r="C29" s="1">
        <v>68</v>
      </c>
      <c r="D29" s="1">
        <v>50</v>
      </c>
      <c r="E29" s="1">
        <v>87</v>
      </c>
      <c r="F29" s="1">
        <v>118</v>
      </c>
      <c r="G29" s="1">
        <f t="shared" si="0"/>
        <v>78</v>
      </c>
    </row>
    <row r="30" spans="1:7" x14ac:dyDescent="0.25">
      <c r="A30">
        <v>1999</v>
      </c>
      <c r="B30" s="1">
        <v>37</v>
      </c>
      <c r="C30" s="1">
        <v>40</v>
      </c>
      <c r="D30" s="1">
        <v>32</v>
      </c>
      <c r="E30" s="1">
        <v>43</v>
      </c>
      <c r="F30" s="1">
        <v>28</v>
      </c>
      <c r="G30" s="1">
        <f t="shared" si="0"/>
        <v>36</v>
      </c>
    </row>
    <row r="31" spans="1:7" x14ac:dyDescent="0.25">
      <c r="A31">
        <v>2000</v>
      </c>
      <c r="B31" s="1">
        <v>72</v>
      </c>
      <c r="C31" s="1">
        <v>92</v>
      </c>
      <c r="D31" s="1">
        <v>66</v>
      </c>
      <c r="E31" s="1">
        <v>81</v>
      </c>
      <c r="F31" s="1">
        <v>31</v>
      </c>
      <c r="G31" s="1">
        <f t="shared" si="0"/>
        <v>68.400000000000006</v>
      </c>
    </row>
    <row r="32" spans="1:7" x14ac:dyDescent="0.25">
      <c r="A32">
        <v>2001</v>
      </c>
      <c r="B32" s="1">
        <v>78</v>
      </c>
      <c r="C32" s="1">
        <v>99</v>
      </c>
      <c r="D32" s="1">
        <v>94</v>
      </c>
      <c r="E32" s="1">
        <v>73</v>
      </c>
      <c r="F32" s="1">
        <v>59</v>
      </c>
      <c r="G32" s="1">
        <f t="shared" si="0"/>
        <v>80.599999999999994</v>
      </c>
    </row>
    <row r="33" spans="1:7" x14ac:dyDescent="0.25">
      <c r="A33">
        <v>2002</v>
      </c>
      <c r="B33" s="1">
        <v>31</v>
      </c>
      <c r="C33" s="1">
        <v>34</v>
      </c>
      <c r="D33" s="1">
        <v>17</v>
      </c>
      <c r="E33" s="1">
        <v>39</v>
      </c>
      <c r="F33" s="1">
        <v>23</v>
      </c>
      <c r="G33" s="1">
        <f t="shared" si="0"/>
        <v>28.8</v>
      </c>
    </row>
    <row r="34" spans="1:7" x14ac:dyDescent="0.25">
      <c r="A34">
        <v>2003</v>
      </c>
      <c r="B34" s="1">
        <v>48</v>
      </c>
      <c r="C34" s="1">
        <v>81</v>
      </c>
      <c r="D34" s="1">
        <v>75</v>
      </c>
      <c r="E34" s="1">
        <v>49</v>
      </c>
      <c r="F34" s="1">
        <v>45</v>
      </c>
      <c r="G34" s="1">
        <f t="shared" si="0"/>
        <v>59.6</v>
      </c>
    </row>
    <row r="35" spans="1:7" x14ac:dyDescent="0.25">
      <c r="A35">
        <v>2004</v>
      </c>
      <c r="B35" s="1">
        <v>38</v>
      </c>
      <c r="C35" s="1">
        <v>58</v>
      </c>
      <c r="D35" s="1">
        <v>11</v>
      </c>
      <c r="E35" s="1">
        <v>42</v>
      </c>
      <c r="F35" s="1">
        <v>11</v>
      </c>
      <c r="G35" s="1">
        <f t="shared" si="0"/>
        <v>32</v>
      </c>
    </row>
    <row r="36" spans="1:7" x14ac:dyDescent="0.25">
      <c r="A36">
        <v>2005</v>
      </c>
      <c r="B36" s="1">
        <v>31</v>
      </c>
      <c r="C36" s="1">
        <v>67</v>
      </c>
      <c r="D36" s="1">
        <v>35</v>
      </c>
      <c r="E36" s="1">
        <v>52</v>
      </c>
      <c r="F36" s="1">
        <v>48</v>
      </c>
      <c r="G36" s="1">
        <f t="shared" si="0"/>
        <v>46.6</v>
      </c>
    </row>
    <row r="37" spans="1:7" x14ac:dyDescent="0.25">
      <c r="A37">
        <v>2006</v>
      </c>
      <c r="B37" s="1">
        <v>41</v>
      </c>
      <c r="C37" s="1">
        <v>57</v>
      </c>
      <c r="D37" s="1">
        <v>34</v>
      </c>
      <c r="E37" s="1">
        <v>40</v>
      </c>
      <c r="F37" s="1">
        <v>14</v>
      </c>
      <c r="G37" s="1">
        <f t="shared" si="0"/>
        <v>37.200000000000003</v>
      </c>
    </row>
    <row r="38" spans="1:7" x14ac:dyDescent="0.25">
      <c r="A38">
        <v>2007</v>
      </c>
      <c r="B38" s="1">
        <v>34</v>
      </c>
      <c r="C38" s="1">
        <v>93</v>
      </c>
      <c r="D38" s="1">
        <v>41</v>
      </c>
      <c r="E38" s="1">
        <v>67</v>
      </c>
      <c r="F38" s="1">
        <v>36</v>
      </c>
      <c r="G38" s="1">
        <f t="shared" si="0"/>
        <v>54.2</v>
      </c>
    </row>
    <row r="39" spans="1:7" x14ac:dyDescent="0.25">
      <c r="A39">
        <v>2008</v>
      </c>
      <c r="B39" s="1">
        <v>35</v>
      </c>
      <c r="C39" s="1">
        <v>92</v>
      </c>
      <c r="D39" s="1">
        <v>78</v>
      </c>
      <c r="E39" s="1">
        <v>56</v>
      </c>
      <c r="F39" s="1">
        <v>65</v>
      </c>
      <c r="G39" s="1">
        <f t="shared" si="0"/>
        <v>65.2</v>
      </c>
    </row>
    <row r="40" spans="1:7" x14ac:dyDescent="0.25">
      <c r="A40">
        <v>2009</v>
      </c>
      <c r="B40" s="1">
        <v>20</v>
      </c>
      <c r="C40" s="1">
        <v>70</v>
      </c>
      <c r="D40" s="1">
        <v>56</v>
      </c>
      <c r="E40" s="1">
        <v>72</v>
      </c>
      <c r="F40" s="1">
        <v>42</v>
      </c>
      <c r="G40" s="1">
        <f t="shared" si="0"/>
        <v>52</v>
      </c>
    </row>
    <row r="41" spans="1:7" x14ac:dyDescent="0.25">
      <c r="A41">
        <v>2010</v>
      </c>
      <c r="B41" s="1">
        <v>41</v>
      </c>
      <c r="C41" s="1">
        <v>71</v>
      </c>
      <c r="D41" s="1">
        <v>19</v>
      </c>
      <c r="E41" s="1">
        <v>62</v>
      </c>
      <c r="F41" s="1">
        <v>36</v>
      </c>
      <c r="G41" s="1">
        <f t="shared" si="0"/>
        <v>45.8</v>
      </c>
    </row>
    <row r="42" spans="1:7" x14ac:dyDescent="0.25">
      <c r="A42">
        <v>2011</v>
      </c>
      <c r="B42" s="1">
        <v>53</v>
      </c>
      <c r="C42" s="1">
        <v>53</v>
      </c>
      <c r="D42" s="1">
        <v>15</v>
      </c>
      <c r="E42" s="1">
        <v>47</v>
      </c>
      <c r="F42" s="1">
        <v>34</v>
      </c>
      <c r="G42" s="1">
        <f t="shared" si="0"/>
        <v>40.4</v>
      </c>
    </row>
    <row r="43" spans="1:7" x14ac:dyDescent="0.25">
      <c r="A43">
        <v>2012</v>
      </c>
      <c r="B43" s="1">
        <v>38</v>
      </c>
      <c r="C43" s="1">
        <v>34</v>
      </c>
      <c r="D43" s="1">
        <v>52</v>
      </c>
      <c r="E43" s="1">
        <v>43</v>
      </c>
      <c r="F43" s="1">
        <v>49</v>
      </c>
      <c r="G43" s="1">
        <f t="shared" si="0"/>
        <v>43.2</v>
      </c>
    </row>
    <row r="44" spans="1:7" x14ac:dyDescent="0.25">
      <c r="A44">
        <v>2013</v>
      </c>
      <c r="B44" s="1">
        <v>80</v>
      </c>
      <c r="C44" s="1">
        <v>67</v>
      </c>
      <c r="D44" s="1">
        <v>36</v>
      </c>
      <c r="E44" s="1">
        <v>46</v>
      </c>
      <c r="F44" s="1">
        <v>21</v>
      </c>
      <c r="G44" s="1">
        <f t="shared" si="0"/>
        <v>50</v>
      </c>
    </row>
    <row r="45" spans="1:7" x14ac:dyDescent="0.25">
      <c r="A45">
        <v>2014</v>
      </c>
      <c r="B45" s="1">
        <v>47</v>
      </c>
      <c r="C45" s="1">
        <v>59</v>
      </c>
      <c r="D45" s="1">
        <v>74</v>
      </c>
      <c r="E45" s="1">
        <v>35</v>
      </c>
      <c r="F45" s="1">
        <v>93</v>
      </c>
      <c r="G45" s="1">
        <f t="shared" si="0"/>
        <v>61.6</v>
      </c>
    </row>
    <row r="46" spans="1:7" x14ac:dyDescent="0.25">
      <c r="A46">
        <v>2015</v>
      </c>
      <c r="B46" s="1">
        <v>54</v>
      </c>
      <c r="C46" s="1">
        <v>17</v>
      </c>
      <c r="D46" s="1">
        <v>0</v>
      </c>
      <c r="E46" s="1">
        <v>34</v>
      </c>
      <c r="F46" s="1">
        <v>21</v>
      </c>
      <c r="G46" s="1">
        <f t="shared" si="0"/>
        <v>25.2</v>
      </c>
    </row>
    <row r="47" spans="1:7" x14ac:dyDescent="0.25">
      <c r="A47">
        <v>2016</v>
      </c>
      <c r="B47" s="1">
        <v>70</v>
      </c>
      <c r="C47" s="1">
        <v>60</v>
      </c>
      <c r="D47" s="1">
        <v>0</v>
      </c>
      <c r="E47" s="1">
        <v>35</v>
      </c>
      <c r="F47" s="1">
        <v>17</v>
      </c>
      <c r="G47" s="1">
        <f t="shared" si="0"/>
        <v>36.4</v>
      </c>
    </row>
    <row r="48" spans="1:7" x14ac:dyDescent="0.25">
      <c r="A48">
        <v>2017</v>
      </c>
      <c r="B48" s="1">
        <v>63</v>
      </c>
      <c r="C48" s="1">
        <v>52</v>
      </c>
      <c r="D48" s="1">
        <v>21</v>
      </c>
      <c r="E48" s="1">
        <v>44</v>
      </c>
      <c r="F48" s="1">
        <v>53</v>
      </c>
      <c r="G48" s="1">
        <f t="shared" si="0"/>
        <v>46.6</v>
      </c>
    </row>
    <row r="49" spans="1:7" x14ac:dyDescent="0.25">
      <c r="A49">
        <v>2018</v>
      </c>
      <c r="B49" s="1">
        <v>51</v>
      </c>
      <c r="C49" s="1">
        <v>35</v>
      </c>
      <c r="D49" s="1">
        <v>12</v>
      </c>
      <c r="E49" s="1">
        <v>46</v>
      </c>
      <c r="F49" s="1">
        <v>106</v>
      </c>
      <c r="G49" s="1">
        <f t="shared" si="0"/>
        <v>50</v>
      </c>
    </row>
    <row r="50" spans="1:7" x14ac:dyDescent="0.25">
      <c r="A50">
        <v>2019</v>
      </c>
      <c r="B50" s="1">
        <v>78</v>
      </c>
      <c r="C50" s="1">
        <v>45</v>
      </c>
      <c r="D50" s="1">
        <v>28</v>
      </c>
      <c r="E50" s="1">
        <v>99</v>
      </c>
      <c r="F50" s="1">
        <v>36</v>
      </c>
      <c r="G50" s="1">
        <f t="shared" si="0"/>
        <v>57.2</v>
      </c>
    </row>
    <row r="51" spans="1:7" x14ac:dyDescent="0.25">
      <c r="A51">
        <v>2020</v>
      </c>
      <c r="B51" s="1">
        <v>29</v>
      </c>
      <c r="C51" s="1">
        <v>33</v>
      </c>
      <c r="D51" s="1">
        <v>18</v>
      </c>
      <c r="E51" s="1">
        <v>35</v>
      </c>
      <c r="F51" s="1">
        <v>40</v>
      </c>
      <c r="G51" s="1">
        <f t="shared" si="0"/>
        <v>31</v>
      </c>
    </row>
    <row r="52" spans="1:7" x14ac:dyDescent="0.25">
      <c r="A52">
        <v>2021</v>
      </c>
      <c r="B52" s="1">
        <v>79</v>
      </c>
      <c r="C52" s="1">
        <v>23</v>
      </c>
      <c r="D52" s="1">
        <v>31</v>
      </c>
      <c r="E52" s="1">
        <v>29</v>
      </c>
      <c r="F52" s="1">
        <v>0</v>
      </c>
      <c r="G52" s="1">
        <f t="shared" si="0"/>
        <v>32.4</v>
      </c>
    </row>
    <row r="53" spans="1:7" x14ac:dyDescent="0.25">
      <c r="A53">
        <v>2022</v>
      </c>
      <c r="B53" s="1">
        <v>37</v>
      </c>
      <c r="C53" s="1">
        <v>32</v>
      </c>
      <c r="D53" s="1">
        <v>18</v>
      </c>
      <c r="E53" s="1">
        <v>40</v>
      </c>
      <c r="F53" s="1">
        <v>0</v>
      </c>
      <c r="G53" s="1">
        <f t="shared" si="0"/>
        <v>25.4</v>
      </c>
    </row>
    <row r="54" spans="1:7" x14ac:dyDescent="0.25">
      <c r="A54">
        <v>2023</v>
      </c>
      <c r="B54" s="1">
        <v>54</v>
      </c>
      <c r="C54" s="1">
        <v>61</v>
      </c>
      <c r="D54" s="1">
        <v>49</v>
      </c>
      <c r="E54" s="1">
        <v>42</v>
      </c>
      <c r="F54" s="1">
        <v>0</v>
      </c>
      <c r="G54" s="1">
        <f t="shared" si="0"/>
        <v>41.2</v>
      </c>
    </row>
    <row r="55" spans="1:7" x14ac:dyDescent="0.25">
      <c r="A55">
        <v>2024</v>
      </c>
      <c r="B55" s="1">
        <v>38</v>
      </c>
      <c r="C55" s="1">
        <v>32</v>
      </c>
      <c r="D55" s="1">
        <v>50</v>
      </c>
      <c r="E55" s="1">
        <v>32</v>
      </c>
      <c r="F55" s="1">
        <v>0</v>
      </c>
      <c r="G55" s="1">
        <f t="shared" si="0"/>
        <v>30.4</v>
      </c>
    </row>
    <row r="56" spans="1:7" x14ac:dyDescent="0.25">
      <c r="A56">
        <v>2025</v>
      </c>
      <c r="B56" s="1">
        <v>48</v>
      </c>
      <c r="C56" s="1">
        <v>41</v>
      </c>
      <c r="D56" s="1">
        <v>30</v>
      </c>
      <c r="E56" s="1">
        <v>141</v>
      </c>
      <c r="F56" s="1"/>
      <c r="G56" s="1">
        <f t="shared" si="0"/>
        <v>65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17</vt:i4>
      </vt:variant>
    </vt:vector>
  </HeadingPairs>
  <TitlesOfParts>
    <vt:vector size="17" baseType="lpstr">
      <vt:lpstr>Абайская </vt:lpstr>
      <vt:lpstr>Акмолинская</vt:lpstr>
      <vt:lpstr>Актюбинская </vt:lpstr>
      <vt:lpstr>Алматинская</vt:lpstr>
      <vt:lpstr>Атырауская</vt:lpstr>
      <vt:lpstr>ВКО</vt:lpstr>
      <vt:lpstr>Жамбылская</vt:lpstr>
      <vt:lpstr>Жетису</vt:lpstr>
      <vt:lpstr>ЗКО</vt:lpstr>
      <vt:lpstr>Карагандинская</vt:lpstr>
      <vt:lpstr>Костанайская </vt:lpstr>
      <vt:lpstr>Кызылорда</vt:lpstr>
      <vt:lpstr>Мангистау</vt:lpstr>
      <vt:lpstr>Павлодар</vt:lpstr>
      <vt:lpstr>СКО</vt:lpstr>
      <vt:lpstr>Туркестанская</vt:lpstr>
      <vt:lpstr>Улытау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2026-03-03T09:55:12Z</dcterms:modified>
  <cp:category/>
  <cp:contentStatus/>
</cp:coreProperties>
</file>